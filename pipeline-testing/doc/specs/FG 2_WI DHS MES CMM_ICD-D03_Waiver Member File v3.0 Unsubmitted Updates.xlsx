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feisystems3.sharepoint.com/sites/ProjectRoot/epmo/WICM/Data ConversionMigrationInterfaces/01 Interfaces/03 Waiver Member File/01 Interface Control Document/"/>
    </mc:Choice>
  </mc:AlternateContent>
  <xr:revisionPtr revIDLastSave="0" documentId="13_ncr:1_{63D1E47E-9C26-441A-810D-1CB48DDA1099}" xr6:coauthVersionLast="47" xr6:coauthVersionMax="47" xr10:uidLastSave="{00000000-0000-0000-0000-000000000000}"/>
  <bookViews>
    <workbookView xWindow="-103" yWindow="-103" windowWidth="33120" windowHeight="18000" tabRatio="704" xr2:uid="{77BC231C-0905-4467-AC09-23DB59429DAB}"/>
  </bookViews>
  <sheets>
    <sheet name="Version History" sheetId="4" r:id="rId1"/>
    <sheet name="Approval" sheetId="7" r:id="rId2"/>
    <sheet name="Waiver Member File" sheetId="1" r:id="rId3"/>
    <sheet name="Business Rules" sheetId="5" r:id="rId4"/>
    <sheet name="Context" sheetId="6" r:id="rId5"/>
    <sheet name="MMIS Stop Reasons" sheetId="12" r:id="rId6"/>
    <sheet name="Error Handling" sheetId="8" r:id="rId7"/>
    <sheet name="Requirements" sheetId="10" r:id="rId8"/>
  </sheets>
  <definedNames>
    <definedName name="_xlnm._FilterDatabase" localSheetId="5" hidden="1">'MMIS Stop Reasons'!$A$2:$B$23</definedName>
    <definedName name="_xlnm._FilterDatabase" localSheetId="2" hidden="1">'Waiver Member File'!$A$2:$P$181</definedName>
    <definedName name="_xlnm.Print_Area" localSheetId="1">Approval!$A$1:$D$29</definedName>
    <definedName name="_xlnm.Print_Area" localSheetId="3">'Business Rules'!$A$1:$C$32</definedName>
    <definedName name="_xlnm.Print_Area" localSheetId="4">Context!$A$1:$B$18</definedName>
    <definedName name="_xlnm.Print_Area" localSheetId="6">'Error Handling'!$A$1:$D$12</definedName>
    <definedName name="_xlnm.Print_Area" localSheetId="5">'MMIS Stop Reasons'!$A$1:$C$23</definedName>
    <definedName name="_xlnm.Print_Area" localSheetId="7">Requirements!$A$1:$C$14</definedName>
    <definedName name="_xlnm.Print_Area" localSheetId="0">'Version History'!$A$1:$C$8</definedName>
    <definedName name="_xlnm.Print_Area" localSheetId="2">'Waiver Member File'!$A$1:$P$179</definedName>
    <definedName name="_xlnm.Print_Titles" localSheetId="1">Approval!$1:$1</definedName>
    <definedName name="_xlnm.Print_Titles" localSheetId="3">'Business Rules'!$1:$1</definedName>
    <definedName name="_xlnm.Print_Titles" localSheetId="4">Context!$1:$1</definedName>
    <definedName name="_xlnm.Print_Titles" localSheetId="7">Requirements!$2:$2</definedName>
    <definedName name="_xlnm.Print_Titles" localSheetId="0">'Version History'!$1:$1</definedName>
    <definedName name="_xlnm.Print_Titles" localSheetId="2">'Waiver Member File'!$1:$2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1" l="1"/>
  <c r="E27" i="1" s="1"/>
  <c r="E26" i="1"/>
  <c r="F10" i="1"/>
  <c r="E11" i="1" s="1"/>
  <c r="E10" i="1"/>
  <c r="F5" i="1"/>
  <c r="F6" i="1" s="1"/>
  <c r="E5" i="1"/>
  <c r="E6" i="1" l="1"/>
  <c r="F27" i="1"/>
  <c r="E28" i="1" s="1"/>
  <c r="F11" i="1"/>
  <c r="F28" i="1" l="1"/>
  <c r="F29" i="1" s="1"/>
  <c r="E12" i="1"/>
  <c r="F12" i="1"/>
  <c r="E29" i="1" l="1"/>
  <c r="E30" i="1"/>
  <c r="F30" i="1"/>
  <c r="E13" i="1"/>
  <c r="F13" i="1"/>
  <c r="F31" i="1" l="1"/>
  <c r="E31" i="1"/>
  <c r="E14" i="1"/>
  <c r="F14" i="1"/>
  <c r="F32" i="1" l="1"/>
  <c r="E32" i="1"/>
  <c r="E15" i="1"/>
  <c r="F15" i="1"/>
  <c r="F33" i="1" l="1"/>
  <c r="E33" i="1"/>
  <c r="F16" i="1"/>
  <c r="E16" i="1"/>
  <c r="E35" i="1" l="1"/>
  <c r="F35" i="1"/>
  <c r="E17" i="1"/>
  <c r="F17" i="1"/>
  <c r="E36" i="1" l="1"/>
  <c r="F36" i="1"/>
  <c r="F18" i="1"/>
  <c r="E18" i="1"/>
  <c r="E37" i="1" l="1"/>
  <c r="F37" i="1"/>
  <c r="F19" i="1"/>
  <c r="E19" i="1"/>
  <c r="F38" i="1" l="1"/>
  <c r="E38" i="1"/>
  <c r="E20" i="1"/>
  <c r="F20" i="1"/>
  <c r="E39" i="1" l="1"/>
  <c r="F39" i="1"/>
  <c r="F21" i="1"/>
  <c r="E21" i="1"/>
  <c r="E40" i="1" l="1"/>
  <c r="F40" i="1"/>
  <c r="F22" i="1"/>
  <c r="E22" i="1"/>
  <c r="F41" i="1" l="1"/>
  <c r="E41" i="1"/>
  <c r="F23" i="1"/>
  <c r="E23" i="1"/>
  <c r="E42" i="1" l="1"/>
  <c r="F42" i="1"/>
  <c r="F24" i="1"/>
  <c r="E25" i="1" s="1"/>
  <c r="E24" i="1"/>
  <c r="F43" i="1" l="1"/>
  <c r="E43" i="1"/>
  <c r="E44" i="1" l="1"/>
  <c r="F44" i="1"/>
  <c r="F45" i="1" l="1"/>
  <c r="E45" i="1"/>
  <c r="F46" i="1" l="1"/>
  <c r="E46" i="1"/>
  <c r="E47" i="1" l="1"/>
  <c r="F47" i="1"/>
  <c r="F48" i="1" l="1"/>
  <c r="E48" i="1"/>
  <c r="F49" i="1" l="1"/>
  <c r="E49" i="1"/>
  <c r="E50" i="1" l="1"/>
  <c r="F50" i="1"/>
  <c r="F51" i="1" l="1"/>
  <c r="E51" i="1"/>
  <c r="E52" i="1" l="1"/>
  <c r="F52" i="1"/>
  <c r="F53" i="1" l="1"/>
  <c r="E53" i="1"/>
  <c r="E54" i="1" l="1"/>
  <c r="F54" i="1"/>
  <c r="F55" i="1" l="1"/>
  <c r="E55" i="1"/>
  <c r="E56" i="1" l="1"/>
  <c r="F56" i="1"/>
  <c r="E57" i="1" l="1"/>
  <c r="F57" i="1"/>
  <c r="F58" i="1" l="1"/>
  <c r="E58" i="1"/>
  <c r="F59" i="1" l="1"/>
  <c r="E59" i="1"/>
  <c r="F60" i="1" l="1"/>
  <c r="E60" i="1"/>
  <c r="F61" i="1" l="1"/>
  <c r="E61" i="1"/>
  <c r="F62" i="1" l="1"/>
  <c r="E62" i="1"/>
  <c r="F63" i="1" l="1"/>
  <c r="E63" i="1"/>
  <c r="F64" i="1" l="1"/>
  <c r="E64" i="1"/>
  <c r="E65" i="1" l="1"/>
  <c r="F65" i="1"/>
  <c r="F66" i="1" l="1"/>
  <c r="E66" i="1"/>
  <c r="F67" i="1" l="1"/>
  <c r="E67" i="1"/>
  <c r="E68" i="1" l="1"/>
  <c r="F68" i="1"/>
  <c r="F69" i="1" l="1"/>
  <c r="E69" i="1"/>
  <c r="F70" i="1" l="1"/>
  <c r="E70" i="1"/>
  <c r="F71" i="1" l="1"/>
  <c r="E71" i="1"/>
  <c r="F72" i="1" l="1"/>
  <c r="E72" i="1"/>
  <c r="E73" i="1" l="1"/>
  <c r="F73" i="1"/>
  <c r="F74" i="1" l="1"/>
  <c r="E74" i="1"/>
  <c r="F75" i="1" l="1"/>
  <c r="E75" i="1"/>
  <c r="E76" i="1" l="1"/>
  <c r="F76" i="1"/>
  <c r="F77" i="1" l="1"/>
  <c r="E77" i="1"/>
  <c r="F78" i="1" l="1"/>
  <c r="E78" i="1"/>
  <c r="F79" i="1" l="1"/>
  <c r="E79" i="1"/>
  <c r="F80" i="1" l="1"/>
  <c r="E80" i="1"/>
  <c r="E81" i="1" l="1"/>
  <c r="F81" i="1"/>
  <c r="E82" i="1" l="1"/>
  <c r="F82" i="1"/>
  <c r="E83" i="1" l="1"/>
  <c r="F83" i="1"/>
  <c r="E84" i="1" l="1"/>
  <c r="F84" i="1"/>
  <c r="E85" i="1" l="1"/>
  <c r="F85" i="1"/>
  <c r="F86" i="1" l="1"/>
  <c r="E86" i="1"/>
  <c r="E87" i="1" l="1"/>
  <c r="F87" i="1"/>
  <c r="F88" i="1" l="1"/>
  <c r="E88" i="1"/>
  <c r="E89" i="1" l="1"/>
  <c r="F89" i="1"/>
  <c r="E90" i="1" l="1"/>
  <c r="F90" i="1"/>
  <c r="F91" i="1" l="1"/>
  <c r="E91" i="1"/>
  <c r="F92" i="1" l="1"/>
  <c r="E92" i="1"/>
  <c r="F93" i="1" l="1"/>
  <c r="E93" i="1"/>
  <c r="E94" i="1" l="1"/>
  <c r="F94" i="1"/>
  <c r="F95" i="1" l="1"/>
  <c r="E95" i="1"/>
  <c r="F96" i="1" l="1"/>
  <c r="E96" i="1"/>
  <c r="E97" i="1" l="1"/>
  <c r="F97" i="1"/>
  <c r="E98" i="1" l="1"/>
  <c r="F98" i="1"/>
  <c r="E99" i="1" l="1"/>
  <c r="F99" i="1"/>
  <c r="E100" i="1" l="1"/>
  <c r="F100" i="1"/>
  <c r="E101" i="1" l="1"/>
  <c r="F101" i="1"/>
  <c r="F102" i="1" l="1"/>
  <c r="E102" i="1"/>
  <c r="F103" i="1" l="1"/>
  <c r="E103" i="1"/>
  <c r="F104" i="1" l="1"/>
  <c r="E104" i="1"/>
  <c r="E105" i="1" l="1"/>
  <c r="F105" i="1"/>
  <c r="F106" i="1" l="1"/>
  <c r="E106" i="1"/>
  <c r="F107" i="1" l="1"/>
  <c r="E107" i="1"/>
  <c r="E108" i="1" l="1"/>
  <c r="F108" i="1"/>
  <c r="F109" i="1" l="1"/>
  <c r="E109" i="1"/>
  <c r="F110" i="1" l="1"/>
  <c r="E110" i="1"/>
  <c r="F111" i="1" l="1"/>
  <c r="E111" i="1"/>
  <c r="F112" i="1" l="1"/>
  <c r="E112" i="1"/>
  <c r="E113" i="1" l="1"/>
  <c r="F113" i="1"/>
  <c r="F114" i="1" l="1"/>
  <c r="E114" i="1"/>
  <c r="E115" i="1" l="1"/>
  <c r="F115" i="1"/>
  <c r="E116" i="1" l="1"/>
  <c r="F116" i="1"/>
  <c r="E117" i="1" l="1"/>
  <c r="F117" i="1"/>
  <c r="F118" i="1" l="1"/>
  <c r="E118" i="1"/>
  <c r="F119" i="1" l="1"/>
  <c r="E119" i="1"/>
  <c r="F120" i="1" l="1"/>
  <c r="E120" i="1"/>
  <c r="F121" i="1" l="1"/>
  <c r="E121" i="1"/>
  <c r="E122" i="1" l="1"/>
  <c r="F122" i="1"/>
  <c r="F123" i="1" l="1"/>
  <c r="E123" i="1"/>
  <c r="E124" i="1" l="1"/>
  <c r="F124" i="1"/>
  <c r="E125" i="1" l="1"/>
  <c r="F125" i="1"/>
  <c r="E126" i="1" l="1"/>
  <c r="F126" i="1"/>
  <c r="E127" i="1" l="1"/>
  <c r="F127" i="1"/>
  <c r="E128" i="1" l="1"/>
  <c r="F128" i="1"/>
  <c r="E129" i="1" l="1"/>
  <c r="F129" i="1"/>
  <c r="F130" i="1" l="1"/>
  <c r="E130" i="1"/>
  <c r="F131" i="1" l="1"/>
  <c r="E131" i="1"/>
  <c r="E132" i="1" l="1"/>
  <c r="F132" i="1"/>
  <c r="F133" i="1" l="1"/>
  <c r="E133" i="1"/>
  <c r="F134" i="1" l="1"/>
  <c r="E134" i="1"/>
  <c r="F135" i="1" l="1"/>
  <c r="E135" i="1"/>
  <c r="E136" i="1" l="1"/>
  <c r="F136" i="1"/>
  <c r="E137" i="1" l="1"/>
  <c r="F137" i="1"/>
  <c r="E138" i="1" l="1"/>
  <c r="F138" i="1"/>
  <c r="E139" i="1" l="1"/>
  <c r="F139" i="1"/>
  <c r="F140" i="1" l="1"/>
  <c r="E140" i="1"/>
  <c r="F141" i="1" l="1"/>
  <c r="E141" i="1"/>
  <c r="F142" i="1" l="1"/>
  <c r="E142" i="1"/>
  <c r="E143" i="1" l="1"/>
  <c r="F143" i="1"/>
  <c r="E144" i="1" l="1"/>
  <c r="F144" i="1"/>
  <c r="F145" i="1" l="1"/>
  <c r="E145" i="1"/>
  <c r="E146" i="1" l="1"/>
  <c r="F146" i="1"/>
  <c r="F147" i="1" l="1"/>
  <c r="E147" i="1"/>
  <c r="E148" i="1" l="1"/>
  <c r="F148" i="1"/>
  <c r="E149" i="1" l="1"/>
  <c r="F149" i="1"/>
  <c r="F150" i="1" l="1"/>
  <c r="E150" i="1"/>
  <c r="F151" i="1" l="1"/>
  <c r="E151" i="1"/>
  <c r="F152" i="1" l="1"/>
  <c r="E152" i="1"/>
  <c r="E153" i="1" l="1"/>
  <c r="F153" i="1"/>
  <c r="E154" i="1" l="1"/>
  <c r="F154" i="1"/>
  <c r="F155" i="1" l="1"/>
  <c r="E155" i="1"/>
  <c r="F156" i="1" l="1"/>
  <c r="E156" i="1"/>
  <c r="F157" i="1" l="1"/>
  <c r="E157" i="1"/>
  <c r="F158" i="1" l="1"/>
  <c r="E158" i="1"/>
  <c r="F159" i="1" l="1"/>
  <c r="E159" i="1"/>
  <c r="F160" i="1" l="1"/>
  <c r="E160" i="1"/>
  <c r="F161" i="1" l="1"/>
  <c r="E161" i="1"/>
  <c r="E162" i="1" l="1"/>
  <c r="F162" i="1"/>
  <c r="F163" i="1" l="1"/>
  <c r="E163" i="1"/>
  <c r="F164" i="1" l="1"/>
  <c r="E164" i="1"/>
  <c r="E165" i="1" l="1"/>
  <c r="F165" i="1"/>
  <c r="F166" i="1" l="1"/>
  <c r="E166" i="1"/>
  <c r="E167" i="1" l="1"/>
  <c r="F167" i="1"/>
  <c r="F168" i="1" l="1"/>
  <c r="E168" i="1"/>
  <c r="F169" i="1" l="1"/>
  <c r="E169" i="1"/>
  <c r="F170" i="1" l="1"/>
  <c r="E170" i="1"/>
  <c r="F171" i="1" l="1"/>
  <c r="E171" i="1"/>
  <c r="E172" i="1" l="1"/>
  <c r="F172" i="1"/>
  <c r="E173" i="1" l="1"/>
  <c r="F173" i="1"/>
  <c r="E174" i="1" l="1"/>
  <c r="F174" i="1"/>
  <c r="F175" i="1" l="1"/>
  <c r="E175" i="1"/>
  <c r="F176" i="1" l="1"/>
  <c r="E176" i="1"/>
  <c r="E177" i="1" l="1"/>
  <c r="F17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Hodge</author>
  </authors>
  <commentList>
    <comment ref="I2" authorId="0" shapeId="0" xr:uid="{268F7DEC-E017-4EA2-9340-C35A3202F7BB}">
      <text>
        <r>
          <rPr>
            <b/>
            <sz val="9"/>
            <color indexed="81"/>
            <rFont val="Tahoma"/>
            <family val="2"/>
          </rPr>
          <t>R = Required
O = Optional
C = Conditionally Required</t>
        </r>
        <r>
          <rPr>
            <sz val="9"/>
            <color indexed="81"/>
            <rFont val="Tahoma"/>
            <family val="2"/>
          </rPr>
          <t xml:space="preserve">
</t>
        </r>
      </text>
    </comment>
  </commentList>
</comments>
</file>

<file path=xl/sharedStrings.xml><?xml version="1.0" encoding="utf-8"?>
<sst xmlns="http://schemas.openxmlformats.org/spreadsheetml/2006/main" count="2805" uniqueCount="537">
  <si>
    <t>When</t>
  </si>
  <si>
    <t>Who</t>
  </si>
  <si>
    <t>Comment</t>
  </si>
  <si>
    <t>Michael Hodge</t>
  </si>
  <si>
    <t>v1.0 Initial Document Delivery</t>
  </si>
  <si>
    <t xml:space="preserve">Date </t>
  </si>
  <si>
    <t xml:space="preserve">Tab Name </t>
  </si>
  <si>
    <t xml:space="preserve">Approved By </t>
  </si>
  <si>
    <t xml:space="preserve">Location with Spreadsheet Saved as PDF with version # </t>
  </si>
  <si>
    <t> </t>
  </si>
  <si>
    <t>File Layout</t>
  </si>
  <si>
    <r>
      <rPr>
        <b/>
        <sz val="11"/>
        <color theme="1"/>
        <rFont val="Calibri"/>
        <family val="2"/>
        <scheme val="minor"/>
      </rPr>
      <t>Blue Compass Tables</t>
    </r>
    <r>
      <rPr>
        <sz val="11"/>
        <color theme="1"/>
        <rFont val="Calibri"/>
        <family val="2"/>
        <scheme val="minor"/>
      </rPr>
      <t xml:space="preserve"> (Destination 3)</t>
    </r>
  </si>
  <si>
    <t>Descriptive Name</t>
  </si>
  <si>
    <t>Data Element</t>
  </si>
  <si>
    <t>Description</t>
  </si>
  <si>
    <t>Data Type</t>
  </si>
  <si>
    <t>Field Start</t>
  </si>
  <si>
    <t>Field End</t>
  </si>
  <si>
    <t>Length</t>
  </si>
  <si>
    <t>Inbound File Notes</t>
  </si>
  <si>
    <t>Required (R/O/C)</t>
  </si>
  <si>
    <t>Target Table</t>
  </si>
  <si>
    <t>Target Column</t>
  </si>
  <si>
    <t>DB Field Length</t>
  </si>
  <si>
    <t>UI Field Length</t>
  </si>
  <si>
    <t>Related Business Rules</t>
  </si>
  <si>
    <t>Mapping Notes</t>
  </si>
  <si>
    <t>Header Record</t>
  </si>
  <si>
    <t>The header record</t>
  </si>
  <si>
    <t xml:space="preserve">CHAR </t>
  </si>
  <si>
    <t>HD</t>
  </si>
  <si>
    <t xml:space="preserve">R </t>
  </si>
  <si>
    <t>n/a</t>
  </si>
  <si>
    <t>Run Date</t>
  </si>
  <si>
    <t>The date the file is generated</t>
  </si>
  <si>
    <t>CCYY-MM-DD format</t>
  </si>
  <si>
    <t>R</t>
  </si>
  <si>
    <t>Record Count</t>
  </si>
  <si>
    <t>The count of the records in the file</t>
  </si>
  <si>
    <t>zero padded (ex. 0000000009)</t>
  </si>
  <si>
    <t>Filler</t>
  </si>
  <si>
    <t>Spaces</t>
  </si>
  <si>
    <t>CHAR</t>
  </si>
  <si>
    <t>Detail Record</t>
  </si>
  <si>
    <t>Member ID</t>
  </si>
  <si>
    <t>Unique Identifier of the Member</t>
  </si>
  <si>
    <t xml:space="preserve">MAID/MCI
</t>
  </si>
  <si>
    <t>Last Name</t>
  </si>
  <si>
    <t>The last name of a member</t>
  </si>
  <si>
    <t>Left aligned and padded with spaces</t>
  </si>
  <si>
    <t>O</t>
  </si>
  <si>
    <t>BR-D03-001</t>
  </si>
  <si>
    <t>Data in this field will not be captured from this interface.</t>
  </si>
  <si>
    <t>First Name</t>
  </si>
  <si>
    <t>The first name of a member</t>
  </si>
  <si>
    <t>Middle Initial</t>
  </si>
  <si>
    <t>The middle initial of the member</t>
  </si>
  <si>
    <t>Suffix</t>
  </si>
  <si>
    <t>The name suffix of the member</t>
  </si>
  <si>
    <t>SSN Number</t>
  </si>
  <si>
    <t>The Social Security number of a member</t>
  </si>
  <si>
    <t>Date of Birth</t>
  </si>
  <si>
    <t>The date of birth of Member</t>
  </si>
  <si>
    <t xml:space="preserve">NUM </t>
  </si>
  <si>
    <t>CCYYMMDD</t>
  </si>
  <si>
    <t>Date of Death</t>
  </si>
  <si>
    <t>The date of death of Member</t>
  </si>
  <si>
    <t>NUM</t>
  </si>
  <si>
    <t xml:space="preserve">CCYYMMDD
</t>
  </si>
  <si>
    <t>PersonModule.
Person</t>
  </si>
  <si>
    <t>DeathDate</t>
  </si>
  <si>
    <t>date</t>
  </si>
  <si>
    <t>Gender</t>
  </si>
  <si>
    <t>The gender code of a Member</t>
  </si>
  <si>
    <t>Values include "M"- Male,  "F"- Female &amp; "U"- Unknown</t>
  </si>
  <si>
    <t>Medicaid Eligibility Effective Date</t>
  </si>
  <si>
    <t>This is the first date of the full Benefit plan(s) identified</t>
  </si>
  <si>
    <t xml:space="preserve">CCYYMMDD
</t>
  </si>
  <si>
    <t>PersonModule.
PersonMedicaidNumbers</t>
  </si>
  <si>
    <t>EffectiveDateRangeStartDate</t>
  </si>
  <si>
    <t>Medicaid Eligibility End Date</t>
  </si>
  <si>
    <t>This is the last date of the full Benefit plan(s) identified</t>
  </si>
  <si>
    <t>EffectiveDateRangeEndDate</t>
  </si>
  <si>
    <t>The End Date field may include a “High End Date” if there is no end-date in sight.</t>
  </si>
  <si>
    <t>This is the MC program code on file for the member.</t>
  </si>
  <si>
    <t>All Managed Care assignment plans, including HMOs and LTC programs, will be included except for the TRANS assignment plan.</t>
  </si>
  <si>
    <t>ProgramEnrollmentModule.
ProgramEnrollment</t>
  </si>
  <si>
    <t xml:space="preserve">MCO ID </t>
  </si>
  <si>
    <t xml:space="preserve">This is the MCO ID associated to MC Program </t>
  </si>
  <si>
    <t xml:space="preserve">An ID that uniquely identifies a managed care organization. </t>
  </si>
  <si>
    <t>nvarchar</t>
  </si>
  <si>
    <t>MCO Name</t>
  </si>
  <si>
    <t>This is the MCO name associated to MC Program</t>
  </si>
  <si>
    <t>MCO Effective Date</t>
  </si>
  <si>
    <t>This is the first date of the associated MCO</t>
  </si>
  <si>
    <t>MCO End Date</t>
  </si>
  <si>
    <t>This is the end date of the associated MCO</t>
  </si>
  <si>
    <t>EnrollmentDateRangeEndDate</t>
  </si>
  <si>
    <t>Member Cost Share Amount</t>
  </si>
  <si>
    <t>This is the member's cost share amount</t>
  </si>
  <si>
    <t>8,2</t>
  </si>
  <si>
    <t>First six $$ amount and last two decimals. The decimal is implied. 
For example 99999999 will be interpreted as 999999.99
Left aligned and padded with spaces</t>
  </si>
  <si>
    <t>PersonModule.
CostShare</t>
  </si>
  <si>
    <t>Amount</t>
  </si>
  <si>
    <t>decimal</t>
  </si>
  <si>
    <t>19,5</t>
  </si>
  <si>
    <t>7,2</t>
  </si>
  <si>
    <t>BR-D03-018</t>
  </si>
  <si>
    <t>This represents the amount for the current month cost share amount.</t>
  </si>
  <si>
    <t>Waiver Group Type</t>
  </si>
  <si>
    <t>This is the waiver group type</t>
  </si>
  <si>
    <t xml:space="preserve">Waiver Group Type field. 
Valid values: 
"B1" (Group B)
"B2" (Group B Plus) 
spaces (default value). </t>
  </si>
  <si>
    <t>Cost Share Amount Type</t>
  </si>
  <si>
    <t>This is the cost share type for the member</t>
  </si>
  <si>
    <t>Valid values are: 
"3060"=MEDICAID COST SHARE
"3063"=WAIVER COST SHARE
Left aligned and padded with spaces</t>
  </si>
  <si>
    <t>BR-D03-019</t>
  </si>
  <si>
    <t>Only cost share amounts related to "3063" (WAIVER COST SHARE) are captured in Blue Compass.
Data in this field will not be captured from this interface.</t>
  </si>
  <si>
    <t>Cost Share Effective Date</t>
  </si>
  <si>
    <t>This is the first date of the costshare entry.</t>
  </si>
  <si>
    <t>Cost Share End Date</t>
  </si>
  <si>
    <t>This is the end date of the costshare entry.</t>
  </si>
  <si>
    <t>Waiver Program</t>
  </si>
  <si>
    <t>This is the system assigned code of the waiver program</t>
  </si>
  <si>
    <t>Note: Waiver Program segment occurs 5 times (7 data elements).</t>
  </si>
  <si>
    <t>Waiver Agency ID</t>
  </si>
  <si>
    <t>This is the system assigned ID of the Waiver Agency</t>
  </si>
  <si>
    <t>For the IRIS program, this is the agency ID enrolling the member (ICA)
Left aligned and padded with spaces</t>
  </si>
  <si>
    <t>Waiver Enrollment Effective Date</t>
  </si>
  <si>
    <t xml:space="preserve">This is the first date of waiver enrollment </t>
  </si>
  <si>
    <t>BR-D03-025,
BR-D03-026</t>
  </si>
  <si>
    <t>Waiver Enrollment End Date</t>
  </si>
  <si>
    <t>This is the last date of the waiver enrollment</t>
  </si>
  <si>
    <t>Waiver Enrollment Status</t>
  </si>
  <si>
    <t>This is the Status of the Waiver enrollment</t>
  </si>
  <si>
    <t xml:space="preserve">Values include "A"=Active, "I"=Inactive, and "S"=Suspended. </t>
  </si>
  <si>
    <t>StatusDisplayName</t>
  </si>
  <si>
    <t>Start Reason Code</t>
  </si>
  <si>
    <t>This is the code value of the Start Reason</t>
  </si>
  <si>
    <t>Stop Reason Code</t>
  </si>
  <si>
    <t>This is the code value of the Stop Reason</t>
  </si>
  <si>
    <t>StatusReasonDisplayName</t>
  </si>
  <si>
    <t>Waiver Information Occurrence 2 of 5. 
This is the Waiver Program for the second most recent enrollment span on file at MMIS. See the Business Rules and Mapping Notes in Occurrence 1.</t>
  </si>
  <si>
    <t>This is the agency ID enrolling the member (ICA)
Left aligned and padded with spaces</t>
  </si>
  <si>
    <t>Waiver Information Occurrence 2 of 5.  
This is the Waiver Agency ID for the second most recent enrollment span on file at MMIS. See the Business Rules and Mapping Notes in Occurrence 1.</t>
  </si>
  <si>
    <t>Waiver Information Occurrence 2 of 5.  
This is the Waiver Enrollment Effective Date for the second most recent enrollment span on file at MMIS. See the Business Rules and Mapping Notes in Occurrence 1.</t>
  </si>
  <si>
    <t>Waiver Information Occurrence 2 of 5.  
This is the Waiver Enrollment End Date for the second most recent enrollment span on file at MMIS. See the Business Rules and Mapping Notes in Occurrence 1.</t>
  </si>
  <si>
    <t>Waiver Information Occurrence 2 of 5.  
This is the Waiver Enrollment Status for the second most recent enrollment span on file at MMIS. See the Business Rules and Mapping Notes in Occurrence 1.</t>
  </si>
  <si>
    <t>Waiver Information Occurrence 2 of 5.  
This is the Start Reason Code for the second most recent enrollment span on file at MMIS. See the Business Rules and Mapping Notes in Occurrence 1.</t>
  </si>
  <si>
    <t>Waiver Information Occurrence 2 of 5.  
This is the Stop Reason Code for the second most recent enrollment span on file at MMIS. See the Business Rules and Mapping Notes in Occurrence 1.</t>
  </si>
  <si>
    <t>Waiver Information Occurrence 3 of 5.  
This is the Waiver Program for the Third most recent enrollment span on file at MMIS. See the Business Rules and Mapping Notes in Occurrence 1.</t>
  </si>
  <si>
    <t>Waiver Information Occurrence 3 of 5.   This is the Waiver Agency ID for the Third most recent enrollment span on file at MMIS. See the Business Rules and Mapping Notes in Occurrence 1.</t>
  </si>
  <si>
    <t>Waiver Information Occurrence 3 of 5.   This is the Waiver Enrollment Effective Date for the Third most recent enrollment span on file at MMIS. See the Business Rules and Mapping Notes in Occurrence 1.</t>
  </si>
  <si>
    <t>Waiver Information Occurrence 3 of 5.   This is the Waiver Enrollment End Date for the Third most recent enrollment span on file at MMIS. See the Business Rules and Mapping Notes in Occurrence 1.</t>
  </si>
  <si>
    <t>Waiver Information Occurrence 3 of 5.   This is the Waiver Enrollment Status for the Third most recent enrollment span on file at MMIS. See the Business Rules and Mapping Notes in Occurrence 1.</t>
  </si>
  <si>
    <t>Waiver Information Occurrence 3 of 5.   This is the Start Reason Code for the Third most recent enrollment span on file at MMIS. See the Business Rules and Mapping Notes in Occurrence 1.</t>
  </si>
  <si>
    <t>Waiver Information Occurrence 3 of 5.   This is the Stop Reason Code for the Third most recent enrollment span on file at MMIS. See the Business Rules and Mapping Notes in Occurrence 1.</t>
  </si>
  <si>
    <t>Waiver Information Occurrence 4 of 5.   This is the Waiver Program for the Fourth most recent enrollment span on file at MMIS. See the Business Rules and Mapping Notes in Occurrence 1.</t>
  </si>
  <si>
    <t>Waiver Information Occurrence 4 of 5.   This is the Waiver Agency ID for the Fourth most recent enrollment span on file at MMIS. See the Business Rules and Mapping Notes in Occurrence 1.</t>
  </si>
  <si>
    <t>Waiver Information Occurrence 4 of 5.   This is the Waiver Enrollment Effective Date for the Fourth most recent enrollment span on file at MMIS. See the Business Rules and Mapping Notes in Occurrence 1.</t>
  </si>
  <si>
    <t>Waiver Information Occurrence 4 of 5.   This is the Waiver Enrollment End Date for the Fourth most recent enrollment span on file at MMIS. See the Business Rules and Mapping Notes in Occurrence 1.</t>
  </si>
  <si>
    <t>Waiver Information Occurrence 4 of 5.   This is the Waiver Enrollment Status for the Fourth most recent enrollment span on file at MMIS. See the Business Rules and Mapping Notes in Occurrence 1.</t>
  </si>
  <si>
    <t>Waiver Information Occurrence 4 of 5.   This is the Start Reason Code for the Fourth most recent enrollment span on file at MMIS. See the Business Rules and Mapping Notes in Occurrence 1.</t>
  </si>
  <si>
    <t>Waiver Information Occurrence 4 of 5.   This is the Stop Reason Code for the Fourth most recent enrollment span on file at MMIS. See the Business Rules and Mapping Notes in Occurrence 1.</t>
  </si>
  <si>
    <t>Waiver Information Occurrence 5 of 5.   This is the Waiver Program for the Fifth most recent enrollment span on file at MMIS. See the Business Rules and Mapping Notes in Occurrence 1.</t>
  </si>
  <si>
    <t>Waiver Information Occurrence 5 of 5.   This is the Waiver Agency ID for the Fifth most recent enrollment span on file at MMIS. See the Business Rules and Mapping Notes in Occurrence 1.</t>
  </si>
  <si>
    <t>Waiver Information Occurrence 5 of 5.   This is the Waiver Enrollment Effective Date for the Fifth most recent enrollment span on file at MMIS. See the Business Rules and Mapping Notes in Occurrence 1.</t>
  </si>
  <si>
    <t>Waiver Information Occurrence 5 of 5.   This is the Waiver Enrollment End Date for the Fifth most recent enrollment span on file at MMIS. See the Business Rules and Mapping Notes in Occurrence 1.</t>
  </si>
  <si>
    <t>Waiver Information Occurrence 5 of 5.   This is the Waiver Enrollment Status for the Fifth most recent enrollment span on file at MMIS. See the Business Rules and Mapping Notes in Occurrence 1.</t>
  </si>
  <si>
    <t>Waiver Information Occurrence 5 of 5.   This is the Start Reason Code for the Fifth most recent enrollment span on file at MMIS. See the Business Rules and Mapping Notes in Occurrence 1.</t>
  </si>
  <si>
    <t>Waiver Information Occurrence 5 of 5.   This is the Stop Reason Code for the Fifth most recent enrollment span on file at MMIS. See the Business Rules and Mapping Notes in Occurrence 1.</t>
  </si>
  <si>
    <t>LOC Indicator</t>
  </si>
  <si>
    <t>This field indicates the type of LOC</t>
  </si>
  <si>
    <t>Valid values include "A"=Adult or "C"=Children</t>
  </si>
  <si>
    <t>BR-D03-030</t>
  </si>
  <si>
    <t xml:space="preserve">Adult LOC Waiver Program </t>
  </si>
  <si>
    <t xml:space="preserve">This is the Adult Functional Level of Care for a particular waiver program </t>
  </si>
  <si>
    <t>Valid Values:
"IRIS"= Include, Respect, I Self-Direct 
(left aligned padded with spaces)</t>
  </si>
  <si>
    <t>Adult LOC Waiver Program Start Verification</t>
  </si>
  <si>
    <t>This is the adult LOC Waiver Program Start Verification</t>
  </si>
  <si>
    <t xml:space="preserve">Values include: 
"D1"=Initial Screen
"D2"=Rescreen </t>
  </si>
  <si>
    <t>Adult LOC FSIA Agency type code</t>
  </si>
  <si>
    <t xml:space="preserve">Agency type associated to the Member's FSIA record. </t>
  </si>
  <si>
    <t>Values include: 
001 - Family Care 
002 - RC with no CMO/U 
003 - HCBW 
004 - PACE / Partnership 
007 - ICA
Blank - Unknown</t>
  </si>
  <si>
    <t>Adult LOC Waiver Eligibility Indicator</t>
  </si>
  <si>
    <t>This Indicates if the Member is eligible for a Community Waiver program</t>
  </si>
  <si>
    <t>Values include "Y"=Yes and "N"=No.</t>
  </si>
  <si>
    <t>Adult LOC Frail Elder Indicator</t>
  </si>
  <si>
    <t xml:space="preserve">This Indicates if the Member is eligible for Adult Level of Care in the Frail Elder target group. </t>
  </si>
  <si>
    <t>Values include "Y"=Yes and "N"=No</t>
  </si>
  <si>
    <t>Adult LOC Physical Disability Indicator</t>
  </si>
  <si>
    <t>This Indicates if the Member is eligible for Adult Level of Care in the Physical Disability target group.</t>
  </si>
  <si>
    <t>Adult LOC Disability per Federal Indicator</t>
  </si>
  <si>
    <t xml:space="preserve">This Indicates if the Member is eligible for Adult Level of Care in the Developmental Disability per Federal target group. </t>
  </si>
  <si>
    <t>Adult LOC Disability per State Indicator</t>
  </si>
  <si>
    <t xml:space="preserve">This Indicates if the Member is eligible for Adult Level of Care in the Developmental Disability per State target group. </t>
  </si>
  <si>
    <t>Adult LOC Alzheimer’s Disease or Other Irreversible Dementia Indicator</t>
  </si>
  <si>
    <t>This Indicates if the Member is eligible for Adult Level of Care in the Alzheimer’s Disease or Other Irreversible Dementia target group.</t>
  </si>
  <si>
    <t>Adult LOC Terminal Conditions Indicator</t>
  </si>
  <si>
    <t>This Indicates if the Member is eligible for Adult Level of Care in the Terminal Conditions target group.</t>
  </si>
  <si>
    <t>Adult LOC Severe and Persistent Mental Illness Indicator</t>
  </si>
  <si>
    <t>This Indicates if the Member is eligible for Adult Level of Care in the Severe and Persistent Mental Illness target group.</t>
  </si>
  <si>
    <t>Adult LOC No Target Group Indicator</t>
  </si>
  <si>
    <t>This Indicates if the Member is eligible for Adult Level of Care that does not apply to a specific target group.</t>
  </si>
  <si>
    <t>Adult LOC Status code</t>
  </si>
  <si>
    <t>This is the Status of the Adult Level of Care entry.</t>
  </si>
  <si>
    <t>Values include "A"=Active</t>
  </si>
  <si>
    <t>Adult LOC Effective Date</t>
  </si>
  <si>
    <t xml:space="preserve">This is the Effective date of the associated Adult Level of Care record	</t>
  </si>
  <si>
    <t>datetime2</t>
  </si>
  <si>
    <t>Adult LOC End Date</t>
  </si>
  <si>
    <t xml:space="preserve">This is the End date of the associated Adult Level of Care record.	</t>
  </si>
  <si>
    <t>BR-D03-031</t>
  </si>
  <si>
    <t xml:space="preserve">Children LOC Waiver Program </t>
  </si>
  <si>
    <t xml:space="preserve">This is the children's functional level of care </t>
  </si>
  <si>
    <r>
      <t xml:space="preserve">Valid Values:
"CLTS"=Children's Long-Term Support Services
"CCS"=Comprehensive Community Service
"CRS"=Community Recovery Services eligibility
"CCP"=Children's Community Options Program
"KBP"=Katie Beckett Medicaid
"MHP"=MH Wrap </t>
    </r>
    <r>
      <rPr>
        <sz val="9"/>
        <rFont val="Arial Narrow"/>
        <family val="2"/>
      </rPr>
      <t>Around
(Left aligned and padded with spaces)</t>
    </r>
    <r>
      <rPr>
        <sz val="10"/>
        <rFont val="Arial Narrow"/>
        <family val="2"/>
      </rPr>
      <t xml:space="preserve"> </t>
    </r>
  </si>
  <si>
    <t>Children LOC Waiver Program Eligibility</t>
  </si>
  <si>
    <t xml:space="preserve">This is the indicator of the Children's functional level of care </t>
  </si>
  <si>
    <t xml:space="preserve">Valid values:
"ELG"=Eligible
"IEL"=Ineligible 
"IAG"=Ineligible due to age. </t>
  </si>
  <si>
    <t>Children's LOC Target Group 1</t>
  </si>
  <si>
    <t>Indicates a target group associated with the Wavier program</t>
  </si>
  <si>
    <t>Valid values:
"DD1"=DD TARGET GROUP (ICF-MR/DD1 LOC)
"DD2"=DD TARGET GROUP (ICF-MR/DD2 LOC)
"PDN"=PHYSICAL DISABILITY TARGET GROUP (NURSING HOME LOC)
"PDH"=PHYSICAL DISABILITY TARGET GROUP
(HOSPITAL LOC)
"PSY"=PSYCHIATRIC HOSPITAL LEVEL OF CARE
"MHP"=MENTAL HEALTH TARGET GROUP (PSYCH HOSPITAL LOC)
"HOS"=HOSPITAL LEVEL OF CARE
"NHM"=NURSING HOME LEVEL OF CARE
"IAG"=NOT ELIGIBLE DUE TO AGE
"IEL"=NOT FUNCTIONALLY DETERMINED TO NEED SERVICES</t>
  </si>
  <si>
    <t>Children's LOC Target Group 2</t>
  </si>
  <si>
    <t>Children's LOC Target Group 3</t>
  </si>
  <si>
    <t>Children's LOC Target Group 4</t>
  </si>
  <si>
    <t>Children's LOC Target Group 5</t>
  </si>
  <si>
    <t>Children's LOC Target Group 6</t>
  </si>
  <si>
    <t>Children's LOC Target Group 7</t>
  </si>
  <si>
    <t>Children's LOC Target Group 8</t>
  </si>
  <si>
    <t>Children's LOC Target Group 9</t>
  </si>
  <si>
    <t>Children's LOC Target Group 10</t>
  </si>
  <si>
    <t>Children LOC Status</t>
  </si>
  <si>
    <t xml:space="preserve">This is the Status of the Children’s Functional Level of Care entry.  </t>
  </si>
  <si>
    <t>Children LOC Effective Date</t>
  </si>
  <si>
    <t xml:space="preserve">This is the Effective date of the Children’s Functional Level of Care record.	</t>
  </si>
  <si>
    <t>Children LOC End Date</t>
  </si>
  <si>
    <t xml:space="preserve">This is the End date of the Children’s Functional Level of Care record.	</t>
  </si>
  <si>
    <t>Additional Table Updates Needed</t>
  </si>
  <si>
    <t>BR #</t>
  </si>
  <si>
    <t>Source Notes</t>
  </si>
  <si>
    <t>The Waiver Member File will not be used to create new participants in Blue Compass.</t>
  </si>
  <si>
    <t>BR-D03-002</t>
  </si>
  <si>
    <t>If an unrecognized value for "Waiver Program" is received in the daily Waiver Member interface file, ignore the "Waiver Program Span" and continue with all other functions. (The "Waiver Program Span" includes one iteration of: Waiver Program, Waiver Agency ID, Waiver Enrollment Effective Date, Waiver Enrollment End Date, Waiver Enrollment Status, Start Reason Code, Stop Reason Code).</t>
  </si>
  <si>
    <t>20250312_WI DHS Care Management - MMIS - Interface Meeting</t>
  </si>
  <si>
    <t>BR-D03-003</t>
  </si>
  <si>
    <t xml:space="preserve">If the daily Waiver Member interface file includes a “Date of Death” for a participant, the Death Date should be captured in the participant profile. </t>
  </si>
  <si>
    <t>20250326_WI DHS Care Management - MMIS - Interface Meeting</t>
  </si>
  <si>
    <t>BR-D03-004</t>
  </si>
  <si>
    <t>BR-D03-005</t>
  </si>
  <si>
    <t>BR-D03-006</t>
  </si>
  <si>
    <t xml:space="preserve">If the daily Waiver Member interface file includes a “Date of Death” for a participant and the participant has a future Enroll Start Date (enrollment not yet active) update the enrollment record to prevent the enrollment from becoming active. </t>
  </si>
  <si>
    <t>BR-D03-007</t>
  </si>
  <si>
    <t>If the daily Waiver Member interface file includes a “Date of Death” for a participant and the participant has an active ISP, the plan should be end-dated on the date of death.</t>
  </si>
  <si>
    <t>BR-D03-008</t>
  </si>
  <si>
    <t>If the daily Waiver Member interface file includes a “Date of Death” for a participant and the participant has one or more active authorizations, the authorizations should be end-dated on the date of death.</t>
  </si>
  <si>
    <t>BR-D03-009</t>
  </si>
  <si>
    <t>BR-D03-010</t>
  </si>
  <si>
    <t>BR-D03-011</t>
  </si>
  <si>
    <t>BR-D03-012</t>
  </si>
  <si>
    <t>BR-D03-013</t>
  </si>
  <si>
    <t>BR-D03-014</t>
  </si>
  <si>
    <t>BR-D03-015</t>
  </si>
  <si>
    <t>BR-D03-016</t>
  </si>
  <si>
    <t>BR-D03-017</t>
  </si>
  <si>
    <t>Program enrollment spans created to represent "MCO enrollment" are informational only (not used for any purpose other than display). DHS would like to capture MCO program enrollment as a reference to assist ICs in transitioning participants into the IRIS program.</t>
  </si>
  <si>
    <t>Only cost share amounts related to Cost Share Amount Type "3063" (WAIVER COST SHARE) are captured in Blue Compass.</t>
  </si>
  <si>
    <t>BR-D03-020</t>
  </si>
  <si>
    <t>If the daily Waiver Member interface file includes "CLTS" enrollment data for a participant, and the participant does not have a "CLTS" program enrollment record in Blue Compass, use the data provided to create a new program enrollment entry.</t>
  </si>
  <si>
    <t>BR-D03-021</t>
  </si>
  <si>
    <t>If the daily Waiver Member interface file includes CLTS enrollment data for a participant, and the data differs from a "CLTS" program enrollment record already in Blue Compass for the participant,  overwrite the existing information. Only 1 "CLTS" enrollment span should display for a participant (maximum).</t>
  </si>
  <si>
    <t>BR-D03-022</t>
  </si>
  <si>
    <t>Program enrollment spans created to represent "CLTS enrollment" are informational only (not used for any purpose other than display). DHS would like to capture "CLTS" program enrollment as a reference to assist ICs in transitioning participants into the IRIS program.</t>
  </si>
  <si>
    <t>BR-D03-023</t>
  </si>
  <si>
    <t xml:space="preserve">Waiver Programs "IRIS" and "CLTS" will be added to the [ProgramModule].[Program] table in advance. These are the only two “Waiver Program” values that will be received in the daily Waiver Member interface file. Note: There are other codes in the MMIS, but they would not be sent in the extract. </t>
  </si>
  <si>
    <t>BR-D03-024</t>
  </si>
  <si>
    <t>The MMIS can send stop reasons and end-dates in the daily Waiver Member interface file for existing "IRIS" Waiver Program enrollment spans (when a participant loses Medicaid eligibility, functional eligibility, or death).</t>
  </si>
  <si>
    <t>BR-D03-025</t>
  </si>
  <si>
    <t xml:space="preserve">The MMIS cannot send new "IRIS" Waiver Program enrollment spans in the daily Waiver Member interface file (that are not already in Blue Compass). </t>
  </si>
  <si>
    <t>BR-D03-026</t>
  </si>
  <si>
    <t>The MMIS cannot send updates in the daily Waiver Member interface file to change "Waiver Enrollment Effective Date", "Start Reason Code", or "Waiver Agency ID" for existing "IRIS" Waiver Program enrollment spans.</t>
  </si>
  <si>
    <t>BR-D03-027</t>
  </si>
  <si>
    <t>The MMIS cannot send updates in the daily Waiver Member interface file to change "Waiver Enrollment Status" to "Active" or "Suspended".</t>
  </si>
  <si>
    <t>BR-D03-028</t>
  </si>
  <si>
    <t>For CLTS program enrollment spans, the “Waiver Agency ID” is a code that represents the county. Capturing and displaying it would not add value. The important part is to show that the CLTS enrollment is there. Knowing the end date of the CLTS enrollment helps the IC set the correct IRIS start date.</t>
  </si>
  <si>
    <t>BR-D03-029</t>
  </si>
  <si>
    <t>There are 5 occurrences of "Waiver Enrollment Information" in the daily Waiver Member interface file. Any updates to "IRIS" enrollment information (Stop Reason and End Date) that need to be captured in Blue Compass will be communicated in the first (most recent) occurrence only.</t>
  </si>
  <si>
    <t xml:space="preserve">Adult Level of Care data in the daily Waiver Member interface file is informational only (not used for any purpose other than display). </t>
  </si>
  <si>
    <t>Children's Level of Care (LOC) information in the daily Waiver Member interface file will not be captured in Blue Compass.</t>
  </si>
  <si>
    <t>Item Description</t>
  </si>
  <si>
    <t>Details</t>
  </si>
  <si>
    <t>Purpose of this interface</t>
  </si>
  <si>
    <t>Receive participant Medicaid eligibility, functional eligibility, other program enrollment and participant information from MMIS.</t>
  </si>
  <si>
    <t>External system that Blue Compass will interface with</t>
  </si>
  <si>
    <t>Wisconsin MMIS</t>
  </si>
  <si>
    <t>Interface Direction (Inbound/Outbound/Both)</t>
  </si>
  <si>
    <t>Inbound (MMIS to Blue Compass)</t>
  </si>
  <si>
    <t>Transfer Protocol (Webservice, SFTP, etc.)</t>
  </si>
  <si>
    <t>SFTP</t>
  </si>
  <si>
    <t>Where is the file sent to or picked up from (End-point or Landing Zone location URL)?</t>
  </si>
  <si>
    <t>Gainwell Connect</t>
  </si>
  <si>
    <t>Connectivity Protocols/Encryption/Authentication (VPN Tunnel, SSL Certificate swap, etc.)</t>
  </si>
  <si>
    <t>SSH Key</t>
  </si>
  <si>
    <t xml:space="preserve">File Type (xml, .csv, delimited flat file etc.) </t>
  </si>
  <si>
    <t>Fixed Length Flat File</t>
  </si>
  <si>
    <t>Frequency</t>
  </si>
  <si>
    <t>Daily- 7 Days a week</t>
  </si>
  <si>
    <t>Timing Considerations (e.g. Day of the week and/or time of day files will be sent or available for pickup), or (When files are not available e.g. system maintenance windows, etc.)</t>
  </si>
  <si>
    <t>MMIS uploads to the SFTP server in the evening and the CM system retrieves early in the morning (4am).</t>
  </si>
  <si>
    <t>Retry procedure for file expected but not (received/available) or otherwise successfully delivered.</t>
  </si>
  <si>
    <t>For inbound, what field(s) are used to match to data in Blue Compass?</t>
  </si>
  <si>
    <t>Participant's Medicaid ID (Member ID)</t>
  </si>
  <si>
    <t>Is every file a full file (reconciliation), or a delta?  If a delta, will full files occasionally be sent/received?  If so, how often?</t>
  </si>
  <si>
    <t>Every file is a full file refresh.</t>
  </si>
  <si>
    <t>Is there a field that represents the last time a row was edited, either a date or a datetime?</t>
  </si>
  <si>
    <t>No</t>
  </si>
  <si>
    <t>How are deletions handled?  That is, if a data was sent previously but is no longer valid.</t>
  </si>
  <si>
    <t>As soon as a participant is disenrolled in IRIS, the update is included in the same day's Waiver Member File, then the participant is dropped from sending in future files.</t>
  </si>
  <si>
    <t>How are updates handled?</t>
  </si>
  <si>
    <t>If there are multiple files in the interface:
What field(s) are used to link them together?
If there is an update in one file, will all the matching records be updated as well?  For example, when a person’s address changes will the update record include only the new address, or will it in include a refresh of all of the person's addresses, or a refresh of all of the person’s information?</t>
  </si>
  <si>
    <t>What is the file naming convention?  (Ideally all files will have CCYYMMDD_HHmm as part of the file name)</t>
  </si>
  <si>
    <t xml:space="preserve">Blue Compass Value Mapping
</t>
  </si>
  <si>
    <t>C_MMIS_REASON_CODE</t>
  </si>
  <si>
    <t xml:space="preserve">Blue Compass Stop Reason
</t>
  </si>
  <si>
    <t>Deceased</t>
  </si>
  <si>
    <t>2B</t>
  </si>
  <si>
    <t>2C</t>
  </si>
  <si>
    <t>2F</t>
  </si>
  <si>
    <t>2M</t>
  </si>
  <si>
    <t>2O</t>
  </si>
  <si>
    <t>7A</t>
  </si>
  <si>
    <t>7B</t>
  </si>
  <si>
    <t>7C</t>
  </si>
  <si>
    <t>7D</t>
  </si>
  <si>
    <t>7E</t>
  </si>
  <si>
    <t>7F</t>
  </si>
  <si>
    <t>7H</t>
  </si>
  <si>
    <t>7J</t>
  </si>
  <si>
    <t>7K</t>
  </si>
  <si>
    <t>7L</t>
  </si>
  <si>
    <t>7S</t>
  </si>
  <si>
    <t>7T</t>
  </si>
  <si>
    <t>This tab will be populated during development phase</t>
  </si>
  <si>
    <t>System Error</t>
  </si>
  <si>
    <t>BC Error Code</t>
  </si>
  <si>
    <t>Error Message</t>
  </si>
  <si>
    <t>Corrective Action</t>
  </si>
  <si>
    <t>Related BRs</t>
  </si>
  <si>
    <t>SE-003-001</t>
  </si>
  <si>
    <t>SE-003-002</t>
  </si>
  <si>
    <t>SE-003-003</t>
  </si>
  <si>
    <t>Rule Violation</t>
  </si>
  <si>
    <t>RV-003-001</t>
  </si>
  <si>
    <t>RV-003-002</t>
  </si>
  <si>
    <t>RV-003-003</t>
  </si>
  <si>
    <t>Requirement Tracking</t>
  </si>
  <si>
    <t>Requirement ID</t>
  </si>
  <si>
    <t>Traceability Notes</t>
  </si>
  <si>
    <t>R370</t>
  </si>
  <si>
    <t>The Solution data exchanges must comply with CMS security and HIPAA transaction standards.</t>
  </si>
  <si>
    <t>R385</t>
  </si>
  <si>
    <t>Solution must include various data exchange methods as necessary to support program-specific business needs.</t>
  </si>
  <si>
    <t>R386</t>
  </si>
  <si>
    <t>Solution must allow for import and integration of data from multiple data sources to support program-specific Care Management System rules.</t>
  </si>
  <si>
    <t>R437</t>
  </si>
  <si>
    <t>Solution must allow for the import from other data sources to complete the participant plan information.</t>
  </si>
  <si>
    <t>R445</t>
  </si>
  <si>
    <t>Solution must allow for the collection, import, and integration of data via real time interface or batch import from other data sources to complete participant case information and trigger Care Management System plan reviews or updates including but not limited to:</t>
  </si>
  <si>
    <t>R445a</t>
  </si>
  <si>
    <t>Medicaid Eligibility;</t>
  </si>
  <si>
    <t>R445b</t>
  </si>
  <si>
    <t>Functional Eligibility;</t>
  </si>
  <si>
    <t>R445c</t>
  </si>
  <si>
    <t>Cost Share;</t>
  </si>
  <si>
    <t>R445d</t>
  </si>
  <si>
    <t>Previous Program Enrollment; and</t>
  </si>
  <si>
    <t>R445e</t>
  </si>
  <si>
    <t>Managed Care Enrollment.</t>
  </si>
  <si>
    <t>Veronica Williams</t>
  </si>
  <si>
    <t>V1.0 Submitted to DHS</t>
  </si>
  <si>
    <t>If the daily Waiver Member interface file includes a “Date of Death” for a participant and the participant has an active IRIS enrollment segment, end the active enrollment on the “Date of Death”.</t>
  </si>
  <si>
    <t>If the daily Waiver Member interface file includes a “Date of Death” for a participant and the participant has a suspended IRIS enrollment segment, end the suspended enrollment on the “Date of Death”.</t>
  </si>
  <si>
    <t>Yaw Adu-Boahene</t>
  </si>
  <si>
    <t>If the daily Waiver Member interface file includes MCO enrollment data for a participant (MC Program code, MCO ID , MCO Name, MCO Effective Date, and MCO End Date), and the participant does not have an MCO program enrollment record in Blue Compass, use the data provided to create a new program enrollment entry.</t>
  </si>
  <si>
    <t>If the daily Waiver Member interface file includes MCO enrollment data for a participant (MC Program code, MCO ID , MCO Name, MCO Effective Date, and MCO End Date), and the data differs from an MCO program enrollment record already in Blue Compass for the participant,  overwrite the existing information. Only 1 MCO enrollment span should display for a participant (maximum).</t>
  </si>
  <si>
    <t>MC Program code</t>
  </si>
  <si>
    <t>v2.0 Updates to address DHS comments.
• Tab: Business Rules, BR-D03-004  Added FEI Response to the DHS comment and for BR-D03-004 and BR-D03-005 removed the following text from the end of the Business Rule: “and set the status to Inactive”.
• Tab: Business Rules, BR-D03-009 and BR-D03-010, removed the following text from the end of the Business Rule: “and set the Blue Compass enrollment status to Inactive”.
• Tab: Business Rules, BR-D03-009, BR-D03-010, BR-D03-011, BR-D03-012, BR-D03-013  Added FEI Response to the DHS comment and added  the following text to the Business Rule text: “(identified in the MMIS Stop Reasons tab)”.
• Tab: Business Rules, BR-D03-015 Added FEI Response to the DHS comment and for
BR-D03-014, BR-D03-015, BR-D03-016 changed "MCO Program code" to "MC Program code".
• Tab: Waiver Member File, Field: MC Program code - changed "MCO Program code" to "MC Program code".
• Tab: Business Rules, BR-D03-016 (Cell B17) Added the MC Program codes PACE and PACPB (Partnership) to the BR text.
• Tab: Business Rules, BR-D03-018 (Cell B19) The following text was added to the note within the BR: “Updates will be applied to the cost share amount that corresponds to the month represented by the Cost Share Effective Date.”</t>
  </si>
  <si>
    <t>Document approved by DHS</t>
  </si>
  <si>
    <t>2W</t>
  </si>
  <si>
    <t>R388</t>
  </si>
  <si>
    <t>Solution must include matching logic that uses multiple key identifiers when integrating with other data sources.</t>
  </si>
  <si>
    <t>R444</t>
  </si>
  <si>
    <t>Solution must incorporate other MES system eligibility and enrollment editing into the Care Management System program enrollment solution.</t>
  </si>
  <si>
    <t>R455</t>
  </si>
  <si>
    <t xml:space="preserve">Solution must automate participant authorization changes that are triggered by program-specific events, including but not limited to Participant case changes, Participant eligibility and functional screen changes, Provider changes, reference data changes and service rate changes as approved by DHS. </t>
  </si>
  <si>
    <t>PersonModule.Person</t>
  </si>
  <si>
    <t>ProvenanceTypeDisplayName</t>
  </si>
  <si>
    <t>ProvenanceTypeIdentifier</t>
  </si>
  <si>
    <t>bigint</t>
  </si>
  <si>
    <t>ProvenanceTypeCodeSystemIdentifier</t>
  </si>
  <si>
    <t>EntityUpdatedAccountIdentifier</t>
  </si>
  <si>
    <t>EntityUpdatedTimestamp</t>
  </si>
  <si>
    <t>Default account for "Integration".</t>
  </si>
  <si>
    <t>File Processed Date</t>
  </si>
  <si>
    <t>ProgramEnrollmentModule.ProgramEnrollment</t>
  </si>
  <si>
    <t>DMS-CMM-WI_PRD_IRIS_WAIVER_EXTRACT-D-[YYYYMMDD_HHMMSS_3-digit millisecond].dat</t>
  </si>
  <si>
    <r>
      <t xml:space="preserve">Source System Values (from T_STATUS_REASON table) 
</t>
    </r>
    <r>
      <rPr>
        <sz val="11"/>
        <color theme="1"/>
        <rFont val="Calibri"/>
        <family val="2"/>
        <scheme val="minor"/>
      </rPr>
      <t>Values for "Stop Reasons" that can be received from MMIS.</t>
    </r>
  </si>
  <si>
    <r>
      <t xml:space="preserve">Data in this field will not be captured from this interface.
</t>
    </r>
    <r>
      <rPr>
        <i/>
        <sz val="11"/>
        <color theme="1"/>
        <rFont val="Calibri"/>
        <family val="2"/>
        <scheme val="minor"/>
      </rPr>
      <t>Note: This is loaded into the Cost Share Note field from the Monthly Cost Share Interface file.</t>
    </r>
  </si>
  <si>
    <t>BR-D03-032</t>
  </si>
  <si>
    <t>BR-D03-033</t>
  </si>
  <si>
    <t>TBD. Gainwell Connect help desk number is (833) 289-0630.</t>
  </si>
  <si>
    <r>
      <t xml:space="preserve">Cost Share information in the MMIS can change daily. Cost share information in the daily Waiver Member file can represent a change and should update the participant’s cost share amount in Blue Compass. Note: The daily Waiver Member File includes cost share data for the current month only </t>
    </r>
    <r>
      <rPr>
        <sz val="11"/>
        <color theme="1"/>
        <rFont val="Calibri"/>
        <family val="2"/>
        <scheme val="minor"/>
      </rPr>
      <t>(Updates will be applied to the cost share amount that corresponds to the month represented by the Cost Share Effective Date”).</t>
    </r>
  </si>
  <si>
    <t>If the Daily Waiver Member file includes a status change for a participant's IRIS enrollment, and the update is successful, a notification should be sent to the IC indicating that there was a change to the participant's IRIS Waiver Enrollment. Details on the notification messages and triggers are maintained in the "Notification Definitions and Triggers.xlsx" document.</t>
  </si>
  <si>
    <t>Data in this field will not be captured from this interface. LOC data will be displayed in the MMIS snapshot (verification service results).</t>
  </si>
  <si>
    <t>BR-D03-024,
BR-D03-025,
BR-D03-026</t>
  </si>
  <si>
    <t>MCO Programs will be added to the [ProgramModule].[Program] table to support adding MCO enrollment spans to participant records.  Known MC Program codes Collected from a sample file: FAMCR, HMOCD, HMOCM, HMOMD, SSIMD, SSIMM, PACE and PACPB (Partnership). Note: it may be possible to use one generic MCO program table entry to prevent the need to maintain "valid MCO program listings" (TBD) .</t>
  </si>
  <si>
    <t>Data in this field will not be captured from this interface.
Cost share for the IRIS program is a monthly value. Use the dates to identify the correct row (Year/month) for the participant in the CostShare table.</t>
  </si>
  <si>
    <t>70</t>
  </si>
  <si>
    <t>72</t>
  </si>
  <si>
    <t>7V</t>
  </si>
  <si>
    <t>statusReason.MisappropriationOfIRISFunds</t>
  </si>
  <si>
    <t>statusReason.MismanagementOfEmployerAuthority</t>
  </si>
  <si>
    <t>statusReason.CustomerServiceIssuesWithTheIrisFea</t>
  </si>
  <si>
    <t>statusReason.failureToUtilizeIRISFunding</t>
  </si>
  <si>
    <t>StatusReason.ProgramNoncompliance</t>
  </si>
  <si>
    <t>statusReason.MovedOutOfIrisServiceRegion</t>
  </si>
  <si>
    <t>statusReason.NotProvided</t>
  </si>
  <si>
    <t>statusReason.DifficultyFindingOrRetainingProviders</t>
  </si>
  <si>
    <t>statusReason.UnableToSecureAllNeededServicesOrHoursOfService</t>
  </si>
  <si>
    <t>statusReason.DecidedToGoWithADifferentProgram</t>
  </si>
  <si>
    <t>statusReason.IHaveFoundOtherWaysToMeetMyNeeds</t>
  </si>
  <si>
    <t>statusReason.DissatisfiedWithCostShare</t>
  </si>
  <si>
    <t>statusReason.NoContact</t>
  </si>
  <si>
    <t>statusReason.HealthAndSafety</t>
  </si>
  <si>
    <t>statusReason.FailureToPayCostShare</t>
  </si>
  <si>
    <t>statusReason.MovedToIneligibleSetting</t>
  </si>
  <si>
    <t>statusReason.CustomerServiceIssuesWithTheIrisIca</t>
  </si>
  <si>
    <t>statusReason.CredibleAllegationOfFraud</t>
  </si>
  <si>
    <t>stausReason.NoncomplianceWithEVVRequirements</t>
  </si>
  <si>
    <t>statusReason.Incarceration</t>
  </si>
  <si>
    <t>(Involuntary) Misappropriation of IRIS Funds</t>
  </si>
  <si>
    <t>(Involuntary) Mismanagement of Employer Authority</t>
  </si>
  <si>
    <t>(Voluntary) Customer service issues with the IRIS FEA</t>
  </si>
  <si>
    <t>(Involuntary) Failure to Utilize IRIS Funding (no spend)</t>
  </si>
  <si>
    <t>(Voluntary) Moved out of IRIS Service Region</t>
  </si>
  <si>
    <t>(Voluntary) Difficulty finding or retaining providers</t>
  </si>
  <si>
    <t>(Voluntary) I have found other ways to meet my needs</t>
  </si>
  <si>
    <t>(Voluntary) Dissatisfied with cost share</t>
  </si>
  <si>
    <t>(Involuntary) No Contact</t>
  </si>
  <si>
    <t>(Involuntary) Failure to Pay Cost Share</t>
  </si>
  <si>
    <t>(Voluntary) Customer service issues with the IRIS ICA</t>
  </si>
  <si>
    <t>(Involuntary) Credible Allegation of Fraud</t>
  </si>
  <si>
    <t>C_CODE</t>
  </si>
  <si>
    <t xml:space="preserve">If the daily Waiver Member interface file includes a “Stop Reason Code" (identified in the MMIS Stop Reasons tab) and “Enrollment End Date”, and the participant has a future IRIS (or SDPC enrollment) Enroll Start Date (enrollment not yet active) update the enrollment record to prevent the enrollment from becoming active (by setting the Status to "Referral Withdrawn"). </t>
  </si>
  <si>
    <t>• Updated the list of Reasons in the  MMIS Stop Reasons tab. Removed duplicate values (7A, 7B, 7C) and added (65, 2W, 7N based on AI 334).</t>
  </si>
  <si>
    <t>• Requirements tab - Added R388, R444, R455.</t>
  </si>
  <si>
    <t>• Context tab (Cell B18): Updated File Naming Convention.</t>
  </si>
  <si>
    <t>• Waiver Member File tab: Added instructions for defaulting data elements in the target system that are not provided in the source file for the following tables: Person, ProgramEnrollment.</t>
  </si>
  <si>
    <t>• Waiver Member File tab:  Updated mapping for Level of Care fields. This data will display in the the new MMIS Snapshot instead of in a custom form.</t>
  </si>
  <si>
    <t>• Waiver Member File tab:  Waiver Group Type - Added a note that this is loaded into the Cost Share Note field from the Monthly Cost Share Interface file.</t>
  </si>
  <si>
    <t>• Business Rules tab: Added BR-D03-032, BR-D03-033. Removed BR-D03-014, BR-D03-015, BR-D03-016, BR-D03-017, BR-D03-020, BR-D03-021, BR-D03-022, BR-D03-023, BR-D03-028</t>
  </si>
  <si>
    <t>• Waiver Member File tab: Removed references to loading CLTS (Childrens program) information and MCO data elements into the Program Enrolllment Tables. This information will display on the MMIS Snapshot instead.</t>
  </si>
  <si>
    <t>• Waiver Member File tab: Cost Share Effective Date: Removed mapping. New Cost Share Bills will be created by the monthly file only.</t>
  </si>
  <si>
    <t>• Waiver Member File tab: Waiver Program, Waiver Enrollment Effective Date, : Removed Mapping. The interface will not create new enrollment records.</t>
  </si>
  <si>
    <t>• Business Rules tab: Removed BR-D03-004, BR-D03-005, BR-D03-006, BR-D03-007, BR-D03-008.</t>
  </si>
  <si>
    <t>• Business Rules tab: Updated BR-D03-009, BR-D03-010.</t>
  </si>
  <si>
    <t>V3.0 - Updates</t>
  </si>
  <si>
    <t>• Business Rules tab: Removed BR-D03-011 per AI #738. (918366)</t>
  </si>
  <si>
    <t>If the value provided is not a valid date, then set to null.</t>
  </si>
  <si>
    <t>Updates to the “Medicaid Eligibility Effective Dates” in the Waiver Member file should be captured. This displays in the "Medicaid Information" section in the participant profile. Note: Only dates for the current Medicaid ID can be updated.</t>
  </si>
  <si>
    <t>BR-D03-009,
BR-D03-010,
BR-D03-012,
BR-D03-013,
BR-D03-024,
BR-D03-029</t>
  </si>
  <si>
    <t>BR-D03-009,
BR-D03-010,
BR-D03-012,
BR-D03-013,
BR-D03-029</t>
  </si>
  <si>
    <t>If the Daily Waiver Member file includes a status change for a participant's IRIS enrollment, but an error prevents the change from being completed as requested, a notification should be sent to the IC indicating that there was an error applying an MMIS update to the participant's IRIS Waiver Enrollment. Details on the notification messages and triggers are maintained in the "Notification Definitions and Triggers.xlsx" document.</t>
  </si>
  <si>
    <t>(Involuntary) Program Noncompliance</t>
  </si>
  <si>
    <t>(Voluntary) Reason Not Provided</t>
  </si>
  <si>
    <t>(Voluntary) Unable to secure all needed services or hours of service</t>
  </si>
  <si>
    <t>(Voluntary) Decided to go with a different program</t>
  </si>
  <si>
    <t>(Involuntary) Health and Safety</t>
  </si>
  <si>
    <t>Additional value provided by DHS. Not in the T_STATUS_REASON table (Not provided)</t>
  </si>
  <si>
    <t>Additional value provided by DHS (Not in the T_STATUS_REASON table - Deceased).</t>
  </si>
  <si>
    <t>(Involuntary) Ineligible Living Setting</t>
  </si>
  <si>
    <t>EnrollmentDateRangeStartDate</t>
  </si>
  <si>
    <t>ProgramEnrollmentKey</t>
  </si>
  <si>
    <t>uniqueidentifier</t>
  </si>
  <si>
    <t>BR-D03-009,
BR-D03-010</t>
  </si>
  <si>
    <t>Use the system generated value.</t>
  </si>
  <si>
    <t>Version</t>
  </si>
  <si>
    <t>int</t>
  </si>
  <si>
    <t>Set to "1".</t>
  </si>
  <si>
    <t>Set to null. The Disenrolled span has no end date.</t>
  </si>
  <si>
    <t>IsPrimary</t>
  </si>
  <si>
    <t>bit</t>
  </si>
  <si>
    <t>Set to "0".</t>
  </si>
  <si>
    <t>ProgramKey</t>
  </si>
  <si>
    <t>Copy from the existing Enrolled span.</t>
  </si>
  <si>
    <t>CaseKey</t>
  </si>
  <si>
    <t>4000</t>
  </si>
  <si>
    <t>Set to "Disenrolled".</t>
  </si>
  <si>
    <t>StatusIdentifier</t>
  </si>
  <si>
    <t>Set to "270000015".</t>
  </si>
  <si>
    <t>StatusCodeSystemIdentifier</t>
  </si>
  <si>
    <t>Set to "7".</t>
  </si>
  <si>
    <t>StatusReasonIdentifier</t>
  </si>
  <si>
    <t>Use the value that corresponds to the StatusReasonDisplayName being loaded.</t>
  </si>
  <si>
    <t>StatusReasonCodeSystemIdentifier</t>
  </si>
  <si>
    <t>Set to "MMIS".</t>
  </si>
  <si>
    <t>Set to "12800001".</t>
  </si>
  <si>
    <t>EntityCreatedAccountIdentifier</t>
  </si>
  <si>
    <t>254</t>
  </si>
  <si>
    <t>EntityCreatedTimestamp</t>
  </si>
  <si>
    <t>7</t>
  </si>
  <si>
    <r>
      <t xml:space="preserve">Waiver Information Occurrence 1 of 5. </t>
    </r>
    <r>
      <rPr>
        <sz val="11"/>
        <color rgb="FF0000FF"/>
        <rFont val="Calibri"/>
        <family val="2"/>
        <scheme val="minor"/>
      </rPr>
      <t>This represents MMIS echoing back the most recent enrollment span sent from ECMS to MMIS.</t>
    </r>
    <r>
      <rPr>
        <sz val="11"/>
        <rFont val="Calibri"/>
        <family val="2"/>
        <scheme val="minor"/>
      </rPr>
      <t xml:space="preserve">
This can be either the program "initial enrollment" or "enrollment resume" date.
Data in this field will not be captured from this interface.</t>
    </r>
  </si>
  <si>
    <r>
      <t>Waiver Information Occurrence 1 of 5. T</t>
    </r>
    <r>
      <rPr>
        <sz val="11"/>
        <color rgb="FF0000FF"/>
        <rFont val="Calibri"/>
        <family val="2"/>
        <scheme val="minor"/>
      </rPr>
      <t>his represents MMIS echoing back the most recent enrollment span sent from ECMS to MMIS.</t>
    </r>
    <r>
      <rPr>
        <sz val="11"/>
        <color theme="1"/>
        <rFont val="Calibri"/>
        <family val="2"/>
        <scheme val="minor"/>
      </rPr>
      <t xml:space="preserve"> . 
Data in this field will not be captured from this interface.</t>
    </r>
  </si>
  <si>
    <r>
      <t xml:space="preserve">Waiver Information Occurrence 1 of 5. </t>
    </r>
    <r>
      <rPr>
        <sz val="11"/>
        <color rgb="FF0000FF"/>
        <rFont val="Calibri"/>
        <family val="2"/>
        <scheme val="minor"/>
      </rPr>
      <t>This represents MMIS echoing back the most recent enrollment span sent from ECMS to MMIS.</t>
    </r>
    <r>
      <rPr>
        <sz val="11"/>
        <rFont val="Calibri"/>
        <family val="2"/>
        <scheme val="minor"/>
      </rPr>
      <t xml:space="preserve"> 
MMIS Echos this back from the most recent Enrollment
Data in this field will not be captured from this interface.</t>
    </r>
  </si>
  <si>
    <r>
      <t xml:space="preserve">Waiver Information Occurrence 1 of 5.  </t>
    </r>
    <r>
      <rPr>
        <sz val="11"/>
        <color rgb="FF0000FF"/>
        <rFont val="Calibri"/>
        <family val="2"/>
        <scheme val="minor"/>
      </rPr>
      <t>This represents MMIS echoing back the most recent enrollment span sent from ECMS to MMIS.</t>
    </r>
  </si>
  <si>
    <r>
      <t xml:space="preserve">Waiver Information Occurrence 1 of 5. </t>
    </r>
    <r>
      <rPr>
        <sz val="11"/>
        <color rgb="FF0000FF"/>
        <rFont val="Calibri"/>
        <family val="2"/>
        <scheme val="minor"/>
      </rPr>
      <t xml:space="preserve">This represents MMIS echoing back the most recent enrollment span sent from ECMS to MMIS. 
</t>
    </r>
    <r>
      <rPr>
        <sz val="11"/>
        <color theme="1"/>
        <rFont val="Calibri"/>
        <family val="2"/>
        <scheme val="minor"/>
      </rPr>
      <t>This code describes the reason that eligibility was started initially and/or restarted when a suspension ends.
Data in this field will not be captured from this interface.</t>
    </r>
  </si>
  <si>
    <r>
      <t xml:space="preserve">Waiver Information Occurrence 1 of 5. </t>
    </r>
    <r>
      <rPr>
        <sz val="11"/>
        <color rgb="FF0000FF"/>
        <rFont val="Calibri"/>
        <family val="2"/>
        <scheme val="minor"/>
      </rPr>
      <t xml:space="preserve">This represents MMIS echoing back the most recent enrollment span sent from ECMS to MMIS or the reason that MMIS is instructing ECMS to end a participant's enrollment. </t>
    </r>
    <r>
      <rPr>
        <sz val="11"/>
        <rFont val="Calibri"/>
        <family val="2"/>
        <scheme val="minor"/>
      </rPr>
      <t xml:space="preserve">
This code describes the reason that eligibility was ended.
</t>
    </r>
    <r>
      <rPr>
        <sz val="11"/>
        <color rgb="FF0000FF"/>
        <rFont val="Calibri"/>
        <family val="2"/>
        <scheme val="minor"/>
      </rPr>
      <t>Note: The 2-character MMIS Stop Reason Code must be translated to the corresponding BC StatusReasonDisplayName. The MMIS Stop Reasons tab describes the mapping. When MMIS sends a reason code intended to end a participant's active enrollment, the translated value is stored on the new Disenrolled span.</t>
    </r>
  </si>
  <si>
    <t>• Waiver Member File tab: Updated mapping notes for Member ID, Medicaid Eligibility Effective Date, and all fields in Waiver Information Occurrence 1 of 5 (Waiver Program, Waiver Agency ID, Waiver Enrollment Effective Date, Waiver Enrollment End Date, Waiver Enrollment Status, Start Reason Code, Stop Reason Code).</t>
  </si>
  <si>
    <t>This is Participant Medicaid ID (MAID). 
Can be used for matching/lookup. This ID must match the participant's current Medicaid ID..</t>
  </si>
  <si>
    <t>20250326_WI DHS Care Management - MMIS - Interface Meeting
20260225_WI DHS Care Management - Data Conversion and Interface Meeting. Enrollments ended due to death will be recognized by the Stop Reason Code.</t>
  </si>
  <si>
    <t>20250326_WI DHS Care Management - MMIS - Interface Meeting.
Removing this BR per AI #738
20260225_WI DHS Care Management - Data Conversion and Interface Meeting (Notes 17-18).</t>
  </si>
  <si>
    <t>20250326_WI DHS Care Management - MMIS - Interface Meeting
20260211_WI DHS Care Management - Data Conversion and Interface Meeting (Note 13). Decision: MCO enrollment to display in MMIS Snapshot only; not loaded as program enrollment rows. Program enrollment screen limited to IRIS and SDPC.</t>
  </si>
  <si>
    <t>20250326_WI DHS Care Management - MMIS - Interface Meeting
20260211_WI DHS Care Management - Data Conversion and Interface Meeting (Notes 13-14). Decision: CLTS enrollment to display in MMIS Snapshot only; not loaded as program enrollment rows.</t>
  </si>
  <si>
    <t>20250312_WI DHS Care Management - MMIS - Interface Meeting (Notes 6, 12-13).</t>
  </si>
  <si>
    <t>20250326_WI DHS Care Management - MMIS - Interface Meeting (Note 5).</t>
  </si>
  <si>
    <t>20250319_WI DHS Care Management - MMIS - Interface Meeting (Note 16).
20250326_WI DHS Care Management - MMIS - Interface Meeting (Note 17).</t>
  </si>
  <si>
    <t>20260225_WI DHS Care Management - Data Conversion and Interface Meeting (Notes 14-16). Decision: MMIS handles death date enrollment ending via Stop Reason Code.</t>
  </si>
  <si>
    <t>20250326_WI DHS Care Management - MMIS - Interface Meeting
20260225_WI DHS Care Management - Data Conversion and Interface Meeting (Notes 14-16). Decision: MMIS handles death date enrollment ending via Stop Reason Code. 
AI #738 (20260225): Follow up on what is sent in Waiver Member Record when participant is deceased before enrollment begins. Agreed approach: set status to Referral Withdrawn rather than preventing activation.</t>
  </si>
  <si>
    <t>20250326_WI DHS Care Management - MMIS - Interface Meeting
20260225_WI DHS Care Management - Data Conversion and Interface Meeting (Notes 14-16). Decision: MMIS handles death date enrollment ending via Stop Reason Code.</t>
  </si>
  <si>
    <t>20250319_WI DHS Care Management - MMIS - Interface Meeting (Note 8).
20250326_WI DHS Care Management - MMIS - Interface Meeting (Note 13).</t>
  </si>
  <si>
    <t>20250319_WI DHS Care Management - MMIS - Interface Meeting (Notes 17-18).
20251105_WI DHS Care Management - Interface Meeting (Note 27).</t>
  </si>
  <si>
    <t>20251105_WI DHS Care Management - Interface Meeting (Note 27).
20260211_WI DHS Care Management - Data Conversion and Interface Meeting (Note 13).</t>
  </si>
  <si>
    <t>20251105_WI DHS Care Management - Interface Meeting (Note 13).</t>
  </si>
  <si>
    <t>20251105_WI DHS Care Management - Interface Meeting (Note 14).
AI #438 (closed 7/30/2025): Confirmed any enrollment status change generates notification regardless of source (UI or interface).</t>
  </si>
  <si>
    <r>
      <t xml:space="preserve">Waiver Information Occurrence 1 of 5. </t>
    </r>
    <r>
      <rPr>
        <sz val="11"/>
        <color rgb="FF0000FF"/>
        <rFont val="Calibri"/>
        <family val="2"/>
        <scheme val="minor"/>
      </rPr>
      <t>This represents MMIS echoing back the most recent enrollment span sent from ECMS to MMIS or the date that MMIS is instructing ECMS to end a participant's enrollment.</t>
    </r>
    <r>
      <rPr>
        <sz val="11"/>
        <rFont val="Calibri"/>
        <family val="2"/>
        <scheme val="minor"/>
      </rPr>
      <t xml:space="preserve"> 
</t>
    </r>
    <r>
      <rPr>
        <sz val="11"/>
        <color rgb="FF0000FF"/>
        <rFont val="Calibri"/>
        <family val="2"/>
        <scheme val="minor"/>
      </rPr>
      <t>When MMIS sends a stop reason code indicating that an actively enrolled participant should be disenrolled, this will be used as the Blue Compass Enrolled span end date and Disenrolled span begin date.</t>
    </r>
    <r>
      <rPr>
        <sz val="11"/>
        <rFont val="Calibri"/>
        <family val="2"/>
        <scheme val="minor"/>
      </rPr>
      <t xml:space="preserve">
MMIS  uses a "High Value" date for open dates. Also consider an empty end-date as "not ended yet".</t>
    </r>
  </si>
  <si>
    <r>
      <t>If the daily Waiver Member interface file includes a “Stop Reason Code" (identified in the MMIS Stop Reasons tab) and “Enrollment End Date”, and the participant has a suspended IRIS enrollment segment, end the enrollment on the provided “Enrollment End Date” and create a new span with "Disenrolled" status, span begin date set to the "Enrollment End date" (that was received)</t>
    </r>
    <r>
      <rPr>
        <sz val="11"/>
        <color rgb="FF0000FF"/>
        <rFont val="Calibri"/>
        <family val="2"/>
        <scheme val="minor"/>
      </rPr>
      <t>, and Status Reason set to the BC value that corresponds to the Stop Reason Code (identified in the MMIS Stop Reasons tab), and the Disenrolled span end date set to null.</t>
    </r>
  </si>
  <si>
    <r>
      <t xml:space="preserve">If the daily Waiver Member interface file includes a “Stop Reason Code" (identified in the MMIS Stop Reasons tab) and “Enrollment End Date”, and the participant has an active IRIS segment, end the enrollment on the provided “Enrollment End Date” </t>
    </r>
    <r>
      <rPr>
        <sz val="11"/>
        <color rgb="FF0000FF"/>
        <rFont val="Calibri"/>
        <family val="2"/>
        <scheme val="minor"/>
      </rPr>
      <t>and create a new span with "Disenrolled" status, span begin date set to the "Enrollment End date" (that was received), and Status Reason set to the BC value that corresponds to the Stop Reason Code (identified in the MMIS Stop Reasons tab) ,and the Disenrolled span end date set to null.</t>
    </r>
  </si>
  <si>
    <r>
      <t xml:space="preserve">If the daily Waiver Member interface file includes a “Stop Reason Code" (identified in the MMIS Stop Reasons tab) and “Enrollment End Date”, for a participant and the participant has one or more active authorizations, the authorizations should be end-dated on the “Enrollment End Date”. </t>
    </r>
    <r>
      <rPr>
        <i/>
        <sz val="11"/>
        <color rgb="FF0000FF"/>
        <rFont val="Calibri"/>
        <family val="2"/>
        <scheme val="minor"/>
      </rPr>
      <t>Note: This is accomplished by an automation which is triggered when a disenrolled span is added by this interface (Individual Service Plan FRD - Automation Rule 13).</t>
    </r>
  </si>
  <si>
    <r>
      <t xml:space="preserve">If the daily Waiver Member interface file includes a “Stop Reason Code" (identified in the MMIS Stop Reasons tab) and “Enrollment End Date”, for a participant and the participant has an active ISP, the plan should be end-dated on the “Enrollment End Date”. </t>
    </r>
    <r>
      <rPr>
        <i/>
        <sz val="11"/>
        <color rgb="FF0000FF"/>
        <rFont val="Calibri"/>
        <family val="2"/>
        <scheme val="minor"/>
      </rPr>
      <t>Note: This is accomplished by an automation which is triggered when a disenrolled span is added by this interface (Individual Service Plan FRD - Automation Rule 13).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</si>
</sst>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7" x14ac:knownFonts="1">
    <font>
      <sz val="11"/>
      <color theme="1"/>
      <name val="Calibri"/>
      <family val="2"/>
      <scheme val="minor"/>
    </font>
    <font>
      <b/>
      <sz val="11"/>
      <color theme="1"/>
      <name val="Calibri"/>
      <family val="2"/>
      <scheme val="minor"/>
    </font>
    <font>
      <b/>
      <sz val="11"/>
      <color rgb="FF000000"/>
      <name val="Calibri"/>
      <family val="2"/>
      <scheme val="minor"/>
    </font>
    <font>
      <b/>
      <sz val="10"/>
      <name val="Calibri"/>
      <family val="2"/>
    </font>
    <font>
      <sz val="11"/>
      <color rgb="FF000000"/>
      <name val="Calibri"/>
      <family val="2"/>
    </font>
    <font>
      <sz val="11"/>
      <name val="Calibri"/>
      <family val="2"/>
    </font>
    <font>
      <b/>
      <sz val="11"/>
      <color rgb="FFFFFFFF"/>
      <name val="Calibri"/>
      <family val="2"/>
    </font>
    <font>
      <b/>
      <sz val="11"/>
      <color theme="0"/>
      <name val="Calibri"/>
      <family val="2"/>
      <scheme val="minor"/>
    </font>
    <font>
      <sz val="11"/>
      <color theme="0"/>
      <name val="Calibri"/>
      <family val="2"/>
      <scheme val="minor"/>
    </font>
    <font>
      <sz val="8"/>
      <name val="Calibri"/>
      <family val="2"/>
      <scheme val="minor"/>
    </font>
    <font>
      <sz val="10"/>
      <name val="Arial Narrow"/>
      <family val="2"/>
    </font>
    <font>
      <sz val="9"/>
      <name val="Arial Narrow"/>
      <family val="2"/>
    </font>
    <font>
      <b/>
      <sz val="9"/>
      <color indexed="81"/>
      <name val="Tahoma"/>
      <family val="2"/>
    </font>
    <font>
      <sz val="9"/>
      <color indexed="81"/>
      <name val="Tahoma"/>
      <family val="2"/>
    </font>
    <font>
      <sz val="11"/>
      <color rgb="FF000000"/>
      <name val="Calibri"/>
      <family val="2"/>
      <scheme val="minor"/>
    </font>
    <font>
      <sz val="11"/>
      <color rgb="FF0000FF"/>
      <name val="Calibri"/>
      <family val="2"/>
      <scheme val="minor"/>
    </font>
    <font>
      <sz val="11"/>
      <name val="Calibri"/>
      <family val="2"/>
      <scheme val="minor"/>
    </font>
    <font>
      <sz val="11"/>
      <color rgb="FF0000FF"/>
      <name val="Calibri"/>
      <family val="2"/>
    </font>
    <font>
      <sz val="11"/>
      <color theme="1"/>
      <name val="Calibri"/>
      <family val="2"/>
    </font>
    <font>
      <b/>
      <sz val="11"/>
      <color rgb="FF000000"/>
      <name val="Calibri"/>
      <family val="2"/>
    </font>
    <font>
      <b/>
      <sz val="11"/>
      <color theme="1"/>
      <name val="Calibri"/>
      <family val="2"/>
    </font>
    <font>
      <b/>
      <sz val="11"/>
      <name val="Calibri"/>
      <family val="2"/>
      <scheme val="minor"/>
    </font>
    <font>
      <i/>
      <sz val="11"/>
      <color theme="1"/>
      <name val="Calibri"/>
      <family val="2"/>
      <scheme val="minor"/>
    </font>
    <font>
      <strike/>
      <sz val="11"/>
      <color theme="1"/>
      <name val="Calibri"/>
      <family val="2"/>
      <scheme val="minor"/>
    </font>
    <font>
      <strike/>
      <sz val="11"/>
      <name val="Calibri"/>
      <family val="2"/>
      <scheme val="minor"/>
    </font>
    <font>
      <b/>
      <sz val="11"/>
      <color rgb="FF0000FF"/>
      <name val="Calibri"/>
      <family val="2"/>
    </font>
    <font>
      <i/>
      <sz val="11"/>
      <color rgb="FF0000FF"/>
      <name val="Calibri"/>
      <family val="2"/>
      <scheme val="minor"/>
    </font>
  </fonts>
  <fills count="21">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rgb="FFB4C6E7"/>
        <bgColor rgb="FF5B9BD5"/>
      </patternFill>
    </fill>
    <fill>
      <patternFill patternType="solid">
        <fgColor rgb="FFB4C6E7"/>
        <bgColor rgb="FF000000"/>
      </patternFill>
    </fill>
    <fill>
      <patternFill patternType="solid">
        <fgColor rgb="FFFFFFFF"/>
        <bgColor rgb="FF000000"/>
      </patternFill>
    </fill>
    <fill>
      <patternFill patternType="solid">
        <fgColor rgb="FF4472C4"/>
        <bgColor rgb="FF4472C4"/>
      </patternFill>
    </fill>
    <fill>
      <patternFill patternType="solid">
        <fgColor rgb="FFD9E1F2"/>
        <bgColor rgb="FFD9E1F2"/>
      </patternFill>
    </fill>
    <fill>
      <patternFill patternType="solid">
        <fgColor theme="1"/>
        <bgColor indexed="64"/>
      </patternFill>
    </fill>
    <fill>
      <patternFill patternType="solid">
        <fgColor theme="2"/>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CC"/>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FFFF0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114">
    <xf numFmtId="0" fontId="0" fillId="0" borderId="0" xfId="0"/>
    <xf numFmtId="0" fontId="0" fillId="0" borderId="0" xfId="0" applyAlignment="1">
      <alignment horizontal="left" vertical="top" wrapText="1"/>
    </xf>
    <xf numFmtId="0" fontId="0" fillId="0" borderId="0" xfId="0" applyAlignment="1">
      <alignment horizontal="center" vertical="top" wrapText="1"/>
    </xf>
    <xf numFmtId="0" fontId="0" fillId="0" borderId="1" xfId="0" applyBorder="1" applyAlignment="1">
      <alignment horizontal="left" vertical="top" wrapText="1"/>
    </xf>
    <xf numFmtId="0" fontId="0" fillId="2" borderId="2" xfId="0" applyFill="1" applyBorder="1" applyAlignment="1">
      <alignment horizontal="left" vertical="top" wrapText="1"/>
    </xf>
    <xf numFmtId="0" fontId="3" fillId="4" borderId="2" xfId="0" applyFont="1" applyFill="1" applyBorder="1" applyAlignment="1">
      <alignment horizontal="center" vertical="top" wrapText="1"/>
    </xf>
    <xf numFmtId="0" fontId="3" fillId="5" borderId="4" xfId="0" applyFont="1" applyFill="1" applyBorder="1" applyAlignment="1">
      <alignment horizontal="center" vertical="top" wrapText="1"/>
    </xf>
    <xf numFmtId="0" fontId="4" fillId="6" borderId="3" xfId="0" applyFont="1" applyFill="1" applyBorder="1" applyAlignment="1">
      <alignment wrapText="1"/>
    </xf>
    <xf numFmtId="0" fontId="5" fillId="6" borderId="7" xfId="0" applyFont="1" applyFill="1" applyBorder="1" applyAlignment="1">
      <alignment wrapText="1"/>
    </xf>
    <xf numFmtId="0" fontId="5" fillId="6" borderId="7" xfId="0" applyFont="1" applyFill="1" applyBorder="1"/>
    <xf numFmtId="0" fontId="0" fillId="0" borderId="0" xfId="0" applyAlignment="1">
      <alignment horizontal="center" vertical="top"/>
    </xf>
    <xf numFmtId="0" fontId="0" fillId="0" borderId="0" xfId="0" applyAlignment="1">
      <alignment horizontal="left" vertical="top"/>
    </xf>
    <xf numFmtId="0" fontId="0" fillId="0" borderId="2" xfId="0" applyBorder="1" applyAlignment="1">
      <alignment horizontal="left" vertical="top" wrapText="1"/>
    </xf>
    <xf numFmtId="0" fontId="7" fillId="11" borderId="0" xfId="0" applyFont="1" applyFill="1"/>
    <xf numFmtId="0" fontId="7" fillId="11" borderId="2" xfId="0" applyFont="1" applyFill="1" applyBorder="1" applyAlignment="1">
      <alignment horizontal="left" vertical="top"/>
    </xf>
    <xf numFmtId="0" fontId="7" fillId="11" borderId="2" xfId="0" applyFont="1" applyFill="1" applyBorder="1" applyAlignment="1">
      <alignment horizontal="center" vertical="top"/>
    </xf>
    <xf numFmtId="0" fontId="14" fillId="2" borderId="2" xfId="0" applyFont="1" applyFill="1" applyBorder="1" applyAlignment="1">
      <alignment horizontal="left" vertical="top" wrapText="1"/>
    </xf>
    <xf numFmtId="0" fontId="7" fillId="11"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7" fillId="11" borderId="2" xfId="0" applyFont="1" applyFill="1" applyBorder="1" applyAlignment="1">
      <alignment vertical="top"/>
    </xf>
    <xf numFmtId="0" fontId="0" fillId="0" borderId="0" xfId="0" applyAlignment="1">
      <alignment vertical="top" wrapText="1"/>
    </xf>
    <xf numFmtId="0" fontId="14" fillId="15" borderId="2" xfId="0" applyFont="1" applyFill="1" applyBorder="1" applyAlignment="1">
      <alignment horizontal="left" vertical="top" wrapText="1"/>
    </xf>
    <xf numFmtId="0" fontId="14" fillId="12" borderId="2" xfId="0" applyFont="1" applyFill="1" applyBorder="1" applyAlignment="1">
      <alignment horizontal="left" vertical="top" wrapText="1"/>
    </xf>
    <xf numFmtId="0" fontId="14" fillId="3" borderId="2" xfId="0" applyFont="1" applyFill="1" applyBorder="1" applyAlignment="1">
      <alignment horizontal="left" vertical="top" wrapText="1"/>
    </xf>
    <xf numFmtId="0" fontId="16" fillId="0" borderId="2" xfId="0" applyFont="1" applyBorder="1" applyAlignment="1">
      <alignment horizontal="left" vertical="top" wrapText="1"/>
    </xf>
    <xf numFmtId="0" fontId="16" fillId="16" borderId="2" xfId="0" applyFont="1" applyFill="1" applyBorder="1" applyAlignment="1">
      <alignment horizontal="left" vertical="top" wrapText="1"/>
    </xf>
    <xf numFmtId="0" fontId="0" fillId="16" borderId="2" xfId="0" applyFill="1" applyBorder="1" applyAlignment="1">
      <alignment horizontal="left" vertical="top" wrapText="1"/>
    </xf>
    <xf numFmtId="0" fontId="0" fillId="17" borderId="2" xfId="0" applyFill="1" applyBorder="1" applyAlignment="1">
      <alignment horizontal="left" vertical="top" wrapText="1"/>
    </xf>
    <xf numFmtId="0" fontId="14" fillId="19" borderId="2" xfId="0" applyFont="1" applyFill="1" applyBorder="1" applyAlignment="1">
      <alignment horizontal="left" vertical="top" wrapText="1"/>
    </xf>
    <xf numFmtId="0" fontId="0" fillId="18" borderId="2" xfId="0" applyFill="1" applyBorder="1" applyAlignment="1">
      <alignment horizontal="left" vertical="top" wrapText="1"/>
    </xf>
    <xf numFmtId="0" fontId="7" fillId="11" borderId="0" xfId="0" applyFont="1" applyFill="1" applyAlignment="1">
      <alignment horizontal="left" vertical="top"/>
    </xf>
    <xf numFmtId="0" fontId="1" fillId="2" borderId="2" xfId="0" applyFont="1" applyFill="1" applyBorder="1" applyAlignment="1">
      <alignment horizontal="left" vertical="top"/>
    </xf>
    <xf numFmtId="0" fontId="1" fillId="2" borderId="2" xfId="0" applyFont="1" applyFill="1" applyBorder="1" applyAlignment="1">
      <alignment horizontal="center" vertical="top"/>
    </xf>
    <xf numFmtId="0" fontId="8" fillId="11" borderId="2" xfId="0" applyFont="1" applyFill="1" applyBorder="1" applyAlignment="1">
      <alignment vertical="top"/>
    </xf>
    <xf numFmtId="0" fontId="8" fillId="11" borderId="2" xfId="0" applyFont="1" applyFill="1" applyBorder="1" applyAlignment="1">
      <alignment horizontal="center" vertical="top"/>
    </xf>
    <xf numFmtId="0" fontId="8" fillId="11" borderId="2" xfId="0" applyFont="1" applyFill="1" applyBorder="1" applyAlignment="1">
      <alignment horizontal="left" vertical="top" wrapText="1"/>
    </xf>
    <xf numFmtId="0" fontId="8" fillId="11" borderId="2" xfId="0" applyFont="1" applyFill="1" applyBorder="1" applyAlignment="1">
      <alignment horizontal="left" vertical="top"/>
    </xf>
    <xf numFmtId="0" fontId="2" fillId="2" borderId="2" xfId="0" applyFont="1" applyFill="1" applyBorder="1" applyAlignment="1">
      <alignment horizontal="left" vertical="top" wrapText="1"/>
    </xf>
    <xf numFmtId="0" fontId="0" fillId="2" borderId="2" xfId="0" applyFill="1" applyBorder="1" applyAlignment="1">
      <alignment vertical="top" wrapText="1"/>
    </xf>
    <xf numFmtId="0" fontId="1" fillId="2" borderId="2" xfId="0" applyFont="1" applyFill="1" applyBorder="1" applyAlignment="1">
      <alignment horizontal="center" vertical="top" wrapText="1"/>
    </xf>
    <xf numFmtId="0" fontId="2" fillId="2" borderId="2" xfId="0" applyFont="1" applyFill="1" applyBorder="1" applyAlignment="1">
      <alignment vertical="top" wrapText="1"/>
    </xf>
    <xf numFmtId="0" fontId="0" fillId="0" borderId="2" xfId="0" applyBorder="1" applyAlignment="1">
      <alignment horizontal="center" vertical="top" wrapText="1"/>
    </xf>
    <xf numFmtId="0" fontId="0" fillId="14" borderId="2" xfId="0" applyFill="1" applyBorder="1" applyAlignment="1">
      <alignment vertical="top" wrapText="1"/>
    </xf>
    <xf numFmtId="0" fontId="0" fillId="14" borderId="2" xfId="0" applyFill="1" applyBorder="1" applyAlignment="1">
      <alignment horizontal="center" vertical="top" wrapText="1"/>
    </xf>
    <xf numFmtId="0" fontId="0" fillId="0" borderId="2" xfId="0" applyBorder="1" applyAlignment="1">
      <alignment vertical="top" wrapText="1"/>
    </xf>
    <xf numFmtId="0" fontId="16" fillId="18" borderId="2" xfId="0" applyFont="1" applyFill="1" applyBorder="1" applyAlignment="1">
      <alignment horizontal="left" vertical="top" wrapText="1"/>
    </xf>
    <xf numFmtId="0" fontId="0" fillId="17" borderId="2" xfId="0" applyFill="1" applyBorder="1" applyAlignment="1">
      <alignment horizontal="center" vertical="top" wrapText="1"/>
    </xf>
    <xf numFmtId="0" fontId="0" fillId="17" borderId="2" xfId="0" applyFill="1" applyBorder="1" applyAlignment="1">
      <alignment vertical="top" wrapText="1"/>
    </xf>
    <xf numFmtId="0" fontId="7" fillId="9" borderId="2" xfId="0" applyFont="1" applyFill="1" applyBorder="1" applyAlignment="1">
      <alignment horizontal="left" vertical="top"/>
    </xf>
    <xf numFmtId="0" fontId="7" fillId="9" borderId="2" xfId="0" applyFont="1" applyFill="1" applyBorder="1" applyAlignment="1">
      <alignment horizontal="left" vertical="top" wrapText="1"/>
    </xf>
    <xf numFmtId="0" fontId="8" fillId="9" borderId="2" xfId="0" applyFont="1" applyFill="1" applyBorder="1" applyAlignment="1">
      <alignment horizontal="left" vertical="top"/>
    </xf>
    <xf numFmtId="0" fontId="8" fillId="9" borderId="2" xfId="0" applyFont="1" applyFill="1" applyBorder="1" applyAlignment="1">
      <alignment horizontal="center" vertical="top"/>
    </xf>
    <xf numFmtId="0" fontId="8" fillId="9" borderId="2" xfId="0" applyFont="1" applyFill="1" applyBorder="1" applyAlignment="1">
      <alignment vertical="top"/>
    </xf>
    <xf numFmtId="0" fontId="16" fillId="0" borderId="2" xfId="0" applyFont="1" applyBorder="1" applyAlignment="1">
      <alignment horizontal="center" vertical="top" wrapText="1"/>
    </xf>
    <xf numFmtId="0" fontId="16" fillId="14" borderId="2" xfId="0" applyFont="1" applyFill="1" applyBorder="1" applyAlignment="1">
      <alignment horizontal="center" vertical="top" wrapText="1"/>
    </xf>
    <xf numFmtId="0" fontId="19" fillId="2" borderId="2" xfId="0" applyFont="1" applyFill="1" applyBorder="1" applyAlignment="1">
      <alignment horizontal="left" vertical="top" wrapText="1"/>
    </xf>
    <xf numFmtId="0" fontId="18" fillId="0" borderId="0" xfId="0" applyFont="1" applyAlignment="1">
      <alignment horizontal="left" vertical="top" wrapText="1"/>
    </xf>
    <xf numFmtId="0" fontId="20" fillId="2" borderId="2" xfId="0" applyFont="1" applyFill="1" applyBorder="1" applyAlignment="1">
      <alignment horizontal="left" vertical="top" wrapText="1"/>
    </xf>
    <xf numFmtId="0" fontId="18" fillId="0" borderId="2" xfId="0" applyFont="1" applyBorder="1" applyAlignment="1">
      <alignment horizontal="left" vertical="top" wrapText="1"/>
    </xf>
    <xf numFmtId="0" fontId="5" fillId="0" borderId="2" xfId="0" applyFont="1" applyBorder="1" applyAlignment="1">
      <alignment vertical="top" wrapText="1"/>
    </xf>
    <xf numFmtId="0" fontId="18" fillId="0" borderId="2" xfId="0" applyFont="1" applyBorder="1" applyAlignment="1">
      <alignment vertical="top"/>
    </xf>
    <xf numFmtId="0" fontId="5" fillId="0" borderId="2" xfId="0" applyFont="1" applyBorder="1" applyAlignment="1">
      <alignment horizontal="left" vertical="top" wrapText="1"/>
    </xf>
    <xf numFmtId="0" fontId="21" fillId="10" borderId="2" xfId="0" applyFont="1" applyFill="1" applyBorder="1" applyAlignment="1">
      <alignment vertical="center" wrapText="1"/>
    </xf>
    <xf numFmtId="0" fontId="14" fillId="0" borderId="2" xfId="0" applyFont="1" applyBorder="1" applyAlignment="1">
      <alignment vertical="top" wrapText="1"/>
    </xf>
    <xf numFmtId="0" fontId="16" fillId="0" borderId="2" xfId="0" applyFont="1" applyBorder="1" applyAlignment="1">
      <alignment vertical="top" wrapText="1"/>
    </xf>
    <xf numFmtId="0" fontId="14" fillId="0" borderId="2" xfId="0" applyFont="1" applyBorder="1" applyAlignment="1">
      <alignment horizontal="left" vertical="top" wrapText="1"/>
    </xf>
    <xf numFmtId="0" fontId="14" fillId="12" borderId="11" xfId="0" applyFont="1" applyFill="1" applyBorder="1" applyAlignment="1">
      <alignment horizontal="left" vertical="top" wrapText="1"/>
    </xf>
    <xf numFmtId="0" fontId="0" fillId="0" borderId="11" xfId="0" applyBorder="1" applyAlignment="1">
      <alignment horizontal="center" vertical="top" wrapText="1"/>
    </xf>
    <xf numFmtId="0" fontId="0" fillId="0" borderId="11" xfId="0" applyBorder="1" applyAlignment="1">
      <alignment horizontal="left" vertical="top" wrapText="1"/>
    </xf>
    <xf numFmtId="0" fontId="16" fillId="0" borderId="11" xfId="0" applyFont="1" applyBorder="1" applyAlignment="1">
      <alignment horizontal="left" vertical="top" wrapText="1"/>
    </xf>
    <xf numFmtId="0" fontId="6" fillId="7" borderId="2" xfId="0" applyFont="1" applyFill="1" applyBorder="1"/>
    <xf numFmtId="164" fontId="4" fillId="0" borderId="2" xfId="0" applyNumberFormat="1" applyFont="1" applyBorder="1" applyAlignment="1">
      <alignment horizontal="left" vertical="top"/>
    </xf>
    <xf numFmtId="0" fontId="4" fillId="0" borderId="2" xfId="0" applyFont="1" applyBorder="1" applyAlignment="1">
      <alignment horizontal="left" vertical="top"/>
    </xf>
    <xf numFmtId="0" fontId="4" fillId="0" borderId="2" xfId="0" applyFont="1" applyBorder="1" applyAlignment="1">
      <alignment horizontal="left" vertical="top" wrapText="1"/>
    </xf>
    <xf numFmtId="164" fontId="4" fillId="8" borderId="2" xfId="0" applyNumberFormat="1" applyFont="1" applyFill="1" applyBorder="1" applyAlignment="1">
      <alignment horizontal="left" vertical="top"/>
    </xf>
    <xf numFmtId="0" fontId="4" fillId="8" borderId="2" xfId="0" applyFont="1" applyFill="1" applyBorder="1" applyAlignment="1">
      <alignment horizontal="left" vertical="top"/>
    </xf>
    <xf numFmtId="0" fontId="4" fillId="8" borderId="2" xfId="0" applyFont="1" applyFill="1" applyBorder="1" applyAlignment="1">
      <alignment horizontal="left" vertical="top" wrapText="1"/>
    </xf>
    <xf numFmtId="164" fontId="5" fillId="0" borderId="2" xfId="0" applyNumberFormat="1" applyFont="1" applyBorder="1" applyAlignment="1">
      <alignment horizontal="left" vertical="top"/>
    </xf>
    <xf numFmtId="0" fontId="5" fillId="0" borderId="2" xfId="0" applyFont="1" applyBorder="1" applyAlignment="1">
      <alignment horizontal="left" vertical="top"/>
    </xf>
    <xf numFmtId="164" fontId="17" fillId="0" borderId="2" xfId="0" applyNumberFormat="1" applyFont="1" applyBorder="1" applyAlignment="1">
      <alignment horizontal="left" vertical="top"/>
    </xf>
    <xf numFmtId="0" fontId="17" fillId="0" borderId="2" xfId="0" applyFont="1" applyBorder="1" applyAlignment="1">
      <alignment horizontal="left" vertical="top"/>
    </xf>
    <xf numFmtId="0" fontId="17" fillId="0" borderId="2" xfId="0" applyFont="1" applyBorder="1" applyAlignment="1">
      <alignment horizontal="left" vertical="top" wrapText="1"/>
    </xf>
    <xf numFmtId="0" fontId="25" fillId="0" borderId="2" xfId="0" applyFont="1" applyBorder="1" applyAlignment="1">
      <alignment horizontal="left" vertical="top" wrapText="1"/>
    </xf>
    <xf numFmtId="0" fontId="16" fillId="0" borderId="10" xfId="0" applyFont="1" applyBorder="1" applyAlignment="1">
      <alignment horizontal="left" vertical="top" wrapText="1"/>
    </xf>
    <xf numFmtId="0" fontId="0" fillId="13" borderId="2" xfId="0" applyFill="1" applyBorder="1" applyAlignment="1">
      <alignment horizontal="left" vertical="top" wrapText="1"/>
    </xf>
    <xf numFmtId="0" fontId="0" fillId="0" borderId="2" xfId="0" applyBorder="1" applyAlignment="1">
      <alignment vertical="top"/>
    </xf>
    <xf numFmtId="0" fontId="16" fillId="13" borderId="2" xfId="0" applyFont="1" applyFill="1" applyBorder="1" applyAlignment="1">
      <alignment horizontal="left" vertical="top" wrapText="1"/>
    </xf>
    <xf numFmtId="0" fontId="0" fillId="13" borderId="2" xfId="0" applyFill="1" applyBorder="1" applyAlignment="1">
      <alignment vertical="top" wrapText="1"/>
    </xf>
    <xf numFmtId="0" fontId="0" fillId="13" borderId="2" xfId="0" applyFill="1" applyBorder="1" applyAlignment="1">
      <alignment horizontal="center" vertical="top" wrapText="1"/>
    </xf>
    <xf numFmtId="0" fontId="16" fillId="2" borderId="2" xfId="0" applyFont="1" applyFill="1" applyBorder="1" applyAlignment="1">
      <alignment vertical="top" wrapText="1"/>
    </xf>
    <xf numFmtId="0" fontId="1" fillId="2" borderId="2" xfId="0" applyFont="1" applyFill="1" applyBorder="1" applyAlignment="1">
      <alignment vertical="top" wrapText="1"/>
    </xf>
    <xf numFmtId="0" fontId="23" fillId="2" borderId="2" xfId="0" applyFont="1" applyFill="1" applyBorder="1" applyAlignment="1">
      <alignment horizontal="center" vertical="top" wrapText="1"/>
    </xf>
    <xf numFmtId="0" fontId="23" fillId="2" borderId="2" xfId="0" applyFont="1" applyFill="1" applyBorder="1" applyAlignment="1">
      <alignment vertical="top" wrapText="1"/>
    </xf>
    <xf numFmtId="0" fontId="24" fillId="2" borderId="2" xfId="0" applyFont="1" applyFill="1" applyBorder="1" applyAlignment="1">
      <alignment horizontal="center" vertical="top" wrapText="1"/>
    </xf>
    <xf numFmtId="0" fontId="24" fillId="2" borderId="2" xfId="0" applyFont="1" applyFill="1" applyBorder="1" applyAlignment="1">
      <alignment vertical="top" wrapText="1"/>
    </xf>
    <xf numFmtId="0" fontId="17" fillId="0" borderId="2" xfId="0" applyFont="1" applyBorder="1" applyAlignment="1">
      <alignment horizontal="left" vertical="top"/>
    </xf>
    <xf numFmtId="164" fontId="17" fillId="0" borderId="2" xfId="0" applyNumberFormat="1" applyFont="1" applyBorder="1" applyAlignment="1">
      <alignment horizontal="left" vertical="top"/>
    </xf>
    <xf numFmtId="0" fontId="0" fillId="2" borderId="2" xfId="0" applyFill="1" applyBorder="1" applyAlignment="1">
      <alignment horizontal="center" vertical="top" wrapText="1"/>
    </xf>
    <xf numFmtId="0" fontId="0" fillId="13" borderId="2" xfId="0" applyFill="1" applyBorder="1" applyAlignment="1">
      <alignment horizontal="left" vertical="top" wrapText="1"/>
    </xf>
    <xf numFmtId="0" fontId="1" fillId="12" borderId="6" xfId="0" applyFont="1" applyFill="1" applyBorder="1" applyAlignment="1">
      <alignment horizontal="left" vertical="top" wrapText="1"/>
    </xf>
    <xf numFmtId="0" fontId="1" fillId="12" borderId="5" xfId="0" applyFont="1" applyFill="1" applyBorder="1" applyAlignment="1">
      <alignment horizontal="left" vertical="top" wrapText="1"/>
    </xf>
    <xf numFmtId="0" fontId="1" fillId="12" borderId="4" xfId="0" applyFont="1" applyFill="1" applyBorder="1" applyAlignment="1">
      <alignment horizontal="left" vertical="top" wrapText="1"/>
    </xf>
    <xf numFmtId="0" fontId="14" fillId="3" borderId="11" xfId="0" applyFont="1" applyFill="1" applyBorder="1" applyAlignment="1">
      <alignment horizontal="left" vertical="top" wrapText="1"/>
    </xf>
    <xf numFmtId="0" fontId="14" fillId="3" borderId="3" xfId="0" applyFont="1" applyFill="1" applyBorder="1" applyAlignment="1">
      <alignment horizontal="left" vertical="top" wrapText="1"/>
    </xf>
    <xf numFmtId="0" fontId="0" fillId="0" borderId="11" xfId="0" applyBorder="1" applyAlignment="1">
      <alignment horizontal="left" vertical="top" wrapText="1"/>
    </xf>
    <xf numFmtId="0" fontId="0" fillId="0" borderId="3" xfId="0" applyBorder="1" applyAlignment="1">
      <alignment horizontal="left" vertical="top" wrapText="1"/>
    </xf>
    <xf numFmtId="0" fontId="0" fillId="0" borderId="11" xfId="0" applyBorder="1" applyAlignment="1">
      <alignment horizontal="center" vertical="top" wrapText="1"/>
    </xf>
    <xf numFmtId="0" fontId="0" fillId="0" borderId="3" xfId="0" applyBorder="1" applyAlignment="1">
      <alignment horizontal="center" vertical="top" wrapText="1"/>
    </xf>
    <xf numFmtId="0" fontId="16" fillId="13" borderId="11" xfId="0" applyFont="1" applyFill="1" applyBorder="1" applyAlignment="1">
      <alignment horizontal="left" vertical="top" wrapText="1"/>
    </xf>
    <xf numFmtId="0" fontId="16" fillId="13" borderId="3" xfId="0" applyFont="1" applyFill="1" applyBorder="1" applyAlignment="1">
      <alignment horizontal="left" vertical="top" wrapText="1"/>
    </xf>
    <xf numFmtId="0" fontId="1" fillId="2" borderId="8" xfId="0" applyFont="1" applyFill="1" applyBorder="1" applyAlignment="1">
      <alignment horizontal="left" vertical="top"/>
    </xf>
    <xf numFmtId="0" fontId="1" fillId="2" borderId="9" xfId="0" applyFont="1" applyFill="1" applyBorder="1" applyAlignment="1">
      <alignment horizontal="left" vertical="top"/>
    </xf>
    <xf numFmtId="0" fontId="0" fillId="20" borderId="2" xfId="0" applyFill="1" applyBorder="1" applyAlignment="1">
      <alignment horizontal="left"/>
    </xf>
    <xf numFmtId="0" fontId="19" fillId="2" borderId="2"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0000FF"/>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5DCD-2BBA-4221-B9E7-127C13E30354}">
  <dimension ref="A1:C28"/>
  <sheetViews>
    <sheetView tabSelected="1" workbookViewId="0">
      <selection activeCell="A4" sqref="A4"/>
    </sheetView>
  </sheetViews>
  <sheetFormatPr defaultRowHeight="14.6" x14ac:dyDescent="0.4"/>
  <cols>
    <col min="1" max="1" width="11.69140625" customWidth="1"/>
    <col min="2" max="2" width="18.3828125" customWidth="1"/>
    <col min="3" max="3" width="106.15234375" customWidth="1"/>
  </cols>
  <sheetData>
    <row r="1" spans="1:3" x14ac:dyDescent="0.4">
      <c r="A1" s="70" t="s">
        <v>0</v>
      </c>
      <c r="B1" s="70" t="s">
        <v>1</v>
      </c>
      <c r="C1" s="70" t="s">
        <v>2</v>
      </c>
    </row>
    <row r="2" spans="1:3" x14ac:dyDescent="0.4">
      <c r="A2" s="71">
        <v>45786</v>
      </c>
      <c r="B2" s="72" t="s">
        <v>3</v>
      </c>
      <c r="C2" s="73" t="s">
        <v>4</v>
      </c>
    </row>
    <row r="3" spans="1:3" x14ac:dyDescent="0.4">
      <c r="A3" s="74">
        <v>45793</v>
      </c>
      <c r="B3" s="75" t="s">
        <v>376</v>
      </c>
      <c r="C3" s="76" t="s">
        <v>377</v>
      </c>
    </row>
    <row r="4" spans="1:3" ht="189.45" x14ac:dyDescent="0.4">
      <c r="A4" s="77">
        <v>45819</v>
      </c>
      <c r="B4" s="78" t="s">
        <v>380</v>
      </c>
      <c r="C4" s="61" t="s">
        <v>384</v>
      </c>
    </row>
    <row r="5" spans="1:3" x14ac:dyDescent="0.4">
      <c r="A5" s="74">
        <v>45827</v>
      </c>
      <c r="B5" s="75" t="s">
        <v>376</v>
      </c>
      <c r="C5" s="76" t="s">
        <v>385</v>
      </c>
    </row>
    <row r="6" spans="1:3" x14ac:dyDescent="0.4">
      <c r="A6" s="96">
        <v>46157</v>
      </c>
      <c r="B6" s="95" t="s">
        <v>3</v>
      </c>
      <c r="C6" s="82" t="s">
        <v>464</v>
      </c>
    </row>
    <row r="7" spans="1:3" ht="29.15" x14ac:dyDescent="0.4">
      <c r="A7" s="96"/>
      <c r="B7" s="95"/>
      <c r="C7" s="81" t="s">
        <v>452</v>
      </c>
    </row>
    <row r="8" spans="1:3" x14ac:dyDescent="0.4">
      <c r="A8" s="96"/>
      <c r="B8" s="95"/>
      <c r="C8" s="81" t="s">
        <v>453</v>
      </c>
    </row>
    <row r="9" spans="1:3" x14ac:dyDescent="0.4">
      <c r="A9" s="96"/>
      <c r="B9" s="95"/>
      <c r="C9" s="81" t="s">
        <v>454</v>
      </c>
    </row>
    <row r="10" spans="1:3" ht="29.15" x14ac:dyDescent="0.4">
      <c r="A10" s="96"/>
      <c r="B10" s="95"/>
      <c r="C10" s="81" t="s">
        <v>455</v>
      </c>
    </row>
    <row r="11" spans="1:3" ht="29.15" x14ac:dyDescent="0.4">
      <c r="A11" s="96"/>
      <c r="B11" s="95"/>
      <c r="C11" s="81" t="s">
        <v>456</v>
      </c>
    </row>
    <row r="12" spans="1:3" ht="29.15" x14ac:dyDescent="0.4">
      <c r="A12" s="96"/>
      <c r="B12" s="95"/>
      <c r="C12" s="81" t="s">
        <v>457</v>
      </c>
    </row>
    <row r="13" spans="1:3" ht="29.15" x14ac:dyDescent="0.4">
      <c r="A13" s="96"/>
      <c r="B13" s="95"/>
      <c r="C13" s="81" t="s">
        <v>458</v>
      </c>
    </row>
    <row r="14" spans="1:3" ht="29.15" x14ac:dyDescent="0.4">
      <c r="A14" s="96"/>
      <c r="B14" s="95"/>
      <c r="C14" s="81" t="s">
        <v>459</v>
      </c>
    </row>
    <row r="15" spans="1:3" ht="29.15" x14ac:dyDescent="0.4">
      <c r="A15" s="96"/>
      <c r="B15" s="95"/>
      <c r="C15" s="81" t="s">
        <v>460</v>
      </c>
    </row>
    <row r="16" spans="1:3" ht="29.15" x14ac:dyDescent="0.4">
      <c r="A16" s="96"/>
      <c r="B16" s="95"/>
      <c r="C16" s="81" t="s">
        <v>461</v>
      </c>
    </row>
    <row r="17" spans="1:3" x14ac:dyDescent="0.4">
      <c r="A17" s="96"/>
      <c r="B17" s="95"/>
      <c r="C17" s="81" t="s">
        <v>462</v>
      </c>
    </row>
    <row r="18" spans="1:3" x14ac:dyDescent="0.4">
      <c r="A18" s="96"/>
      <c r="B18" s="95"/>
      <c r="C18" s="81" t="s">
        <v>463</v>
      </c>
    </row>
    <row r="19" spans="1:3" x14ac:dyDescent="0.4">
      <c r="A19" s="96"/>
      <c r="B19" s="95"/>
      <c r="C19" s="81" t="s">
        <v>465</v>
      </c>
    </row>
    <row r="20" spans="1:3" ht="43.75" x14ac:dyDescent="0.4">
      <c r="A20" s="96"/>
      <c r="B20" s="95"/>
      <c r="C20" s="81" t="s">
        <v>515</v>
      </c>
    </row>
    <row r="21" spans="1:3" x14ac:dyDescent="0.4">
      <c r="A21" s="74"/>
      <c r="B21" s="75"/>
      <c r="C21" s="76"/>
    </row>
    <row r="22" spans="1:3" x14ac:dyDescent="0.4">
      <c r="A22" s="79"/>
      <c r="B22" s="80"/>
      <c r="C22" s="81"/>
    </row>
    <row r="23" spans="1:3" x14ac:dyDescent="0.4">
      <c r="A23" s="74"/>
      <c r="B23" s="75"/>
      <c r="C23" s="76"/>
    </row>
    <row r="24" spans="1:3" x14ac:dyDescent="0.4">
      <c r="A24" s="79"/>
      <c r="B24" s="80"/>
      <c r="C24" s="81"/>
    </row>
    <row r="25" spans="1:3" x14ac:dyDescent="0.4">
      <c r="A25" s="74"/>
      <c r="B25" s="75"/>
      <c r="C25" s="76"/>
    </row>
    <row r="26" spans="1:3" x14ac:dyDescent="0.4">
      <c r="A26" s="79"/>
      <c r="B26" s="80"/>
      <c r="C26" s="81"/>
    </row>
    <row r="27" spans="1:3" x14ac:dyDescent="0.4">
      <c r="A27" s="74"/>
      <c r="B27" s="75"/>
      <c r="C27" s="76"/>
    </row>
    <row r="28" spans="1:3" x14ac:dyDescent="0.4">
      <c r="A28" s="79"/>
      <c r="B28" s="80"/>
      <c r="C28" s="81"/>
    </row>
  </sheetData>
  <mergeCells count="2">
    <mergeCell ref="B6:B20"/>
    <mergeCell ref="A6:A20"/>
  </mergeCells>
  <pageMargins left="0.7" right="0.7" top="0.75" bottom="0.75" header="0.3" footer="0.3"/>
  <pageSetup orientation="landscape"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654E-90C5-42A5-9B5E-A2870AD83160}">
  <dimension ref="A1:D29"/>
  <sheetViews>
    <sheetView workbookViewId="0">
      <selection activeCell="A2" sqref="A2"/>
    </sheetView>
  </sheetViews>
  <sheetFormatPr defaultRowHeight="14.6" x14ac:dyDescent="0.4"/>
  <cols>
    <col min="1" max="1" width="14.53515625" customWidth="1"/>
    <col min="2" max="2" width="36.69140625" customWidth="1"/>
    <col min="3" max="3" width="23.3828125" customWidth="1"/>
    <col min="4" max="4" width="35" customWidth="1"/>
  </cols>
  <sheetData>
    <row r="1" spans="1:4" ht="29.25" customHeight="1" x14ac:dyDescent="0.4">
      <c r="A1" s="5" t="s">
        <v>5</v>
      </c>
      <c r="B1" s="6" t="s">
        <v>6</v>
      </c>
      <c r="C1" s="6" t="s">
        <v>7</v>
      </c>
      <c r="D1" s="6" t="s">
        <v>8</v>
      </c>
    </row>
    <row r="2" spans="1:4" x14ac:dyDescent="0.4">
      <c r="A2" s="7" t="s">
        <v>9</v>
      </c>
      <c r="B2" s="8" t="s">
        <v>9</v>
      </c>
      <c r="C2" s="9" t="s">
        <v>9</v>
      </c>
      <c r="D2" s="9" t="s">
        <v>9</v>
      </c>
    </row>
    <row r="3" spans="1:4" x14ac:dyDescent="0.4">
      <c r="A3" s="7" t="s">
        <v>9</v>
      </c>
      <c r="B3" s="8" t="s">
        <v>9</v>
      </c>
      <c r="C3" s="9" t="s">
        <v>9</v>
      </c>
      <c r="D3" s="9" t="s">
        <v>9</v>
      </c>
    </row>
    <row r="4" spans="1:4" x14ac:dyDescent="0.4">
      <c r="A4" s="7" t="s">
        <v>9</v>
      </c>
      <c r="B4" s="8" t="s">
        <v>9</v>
      </c>
      <c r="C4" s="9" t="s">
        <v>9</v>
      </c>
      <c r="D4" s="9" t="s">
        <v>9</v>
      </c>
    </row>
    <row r="5" spans="1:4" x14ac:dyDescent="0.4">
      <c r="A5" s="7" t="s">
        <v>9</v>
      </c>
      <c r="B5" s="8" t="s">
        <v>9</v>
      </c>
      <c r="C5" s="9" t="s">
        <v>9</v>
      </c>
      <c r="D5" s="9" t="s">
        <v>9</v>
      </c>
    </row>
    <row r="6" spans="1:4" x14ac:dyDescent="0.4">
      <c r="A6" s="7" t="s">
        <v>9</v>
      </c>
      <c r="B6" s="8" t="s">
        <v>9</v>
      </c>
      <c r="C6" s="9" t="s">
        <v>9</v>
      </c>
      <c r="D6" s="9" t="s">
        <v>9</v>
      </c>
    </row>
    <row r="7" spans="1:4" x14ac:dyDescent="0.4">
      <c r="A7" s="7" t="s">
        <v>9</v>
      </c>
      <c r="B7" s="8" t="s">
        <v>9</v>
      </c>
      <c r="C7" s="9" t="s">
        <v>9</v>
      </c>
      <c r="D7" s="9" t="s">
        <v>9</v>
      </c>
    </row>
    <row r="8" spans="1:4" x14ac:dyDescent="0.4">
      <c r="A8" s="7" t="s">
        <v>9</v>
      </c>
      <c r="B8" s="8" t="s">
        <v>9</v>
      </c>
      <c r="C8" s="9" t="s">
        <v>9</v>
      </c>
      <c r="D8" s="9" t="s">
        <v>9</v>
      </c>
    </row>
    <row r="9" spans="1:4" x14ac:dyDescent="0.4">
      <c r="A9" s="7" t="s">
        <v>9</v>
      </c>
      <c r="B9" s="8" t="s">
        <v>9</v>
      </c>
      <c r="C9" s="9" t="s">
        <v>9</v>
      </c>
      <c r="D9" s="9" t="s">
        <v>9</v>
      </c>
    </row>
    <row r="10" spans="1:4" x14ac:dyDescent="0.4">
      <c r="A10" s="7" t="s">
        <v>9</v>
      </c>
      <c r="B10" s="8" t="s">
        <v>9</v>
      </c>
      <c r="C10" s="9" t="s">
        <v>9</v>
      </c>
      <c r="D10" s="9" t="s">
        <v>9</v>
      </c>
    </row>
    <row r="11" spans="1:4" x14ac:dyDescent="0.4">
      <c r="A11" s="7" t="s">
        <v>9</v>
      </c>
      <c r="B11" s="8" t="s">
        <v>9</v>
      </c>
      <c r="C11" s="9" t="s">
        <v>9</v>
      </c>
      <c r="D11" s="9" t="s">
        <v>9</v>
      </c>
    </row>
    <row r="12" spans="1:4" x14ac:dyDescent="0.4">
      <c r="A12" s="7" t="s">
        <v>9</v>
      </c>
      <c r="B12" s="8" t="s">
        <v>9</v>
      </c>
      <c r="C12" s="9" t="s">
        <v>9</v>
      </c>
      <c r="D12" s="9" t="s">
        <v>9</v>
      </c>
    </row>
    <row r="13" spans="1:4" x14ac:dyDescent="0.4">
      <c r="A13" s="7" t="s">
        <v>9</v>
      </c>
      <c r="B13" s="8" t="s">
        <v>9</v>
      </c>
      <c r="C13" s="9" t="s">
        <v>9</v>
      </c>
      <c r="D13" s="9" t="s">
        <v>9</v>
      </c>
    </row>
    <row r="14" spans="1:4" x14ac:dyDescent="0.4">
      <c r="A14" s="7" t="s">
        <v>9</v>
      </c>
      <c r="B14" s="8" t="s">
        <v>9</v>
      </c>
      <c r="C14" s="9" t="s">
        <v>9</v>
      </c>
      <c r="D14" s="9" t="s">
        <v>9</v>
      </c>
    </row>
    <row r="15" spans="1:4" x14ac:dyDescent="0.4">
      <c r="A15" s="7" t="s">
        <v>9</v>
      </c>
      <c r="B15" s="8" t="s">
        <v>9</v>
      </c>
      <c r="C15" s="9" t="s">
        <v>9</v>
      </c>
      <c r="D15" s="9" t="s">
        <v>9</v>
      </c>
    </row>
    <row r="16" spans="1:4" x14ac:dyDescent="0.4">
      <c r="A16" s="7" t="s">
        <v>9</v>
      </c>
      <c r="B16" s="8" t="s">
        <v>9</v>
      </c>
      <c r="C16" s="9" t="s">
        <v>9</v>
      </c>
      <c r="D16" s="9" t="s">
        <v>9</v>
      </c>
    </row>
    <row r="17" spans="1:4" x14ac:dyDescent="0.4">
      <c r="A17" s="7" t="s">
        <v>9</v>
      </c>
      <c r="B17" s="8" t="s">
        <v>9</v>
      </c>
      <c r="C17" s="9" t="s">
        <v>9</v>
      </c>
      <c r="D17" s="9" t="s">
        <v>9</v>
      </c>
    </row>
    <row r="18" spans="1:4" x14ac:dyDescent="0.4">
      <c r="A18" s="7" t="s">
        <v>9</v>
      </c>
      <c r="B18" s="8" t="s">
        <v>9</v>
      </c>
      <c r="C18" s="9" t="s">
        <v>9</v>
      </c>
      <c r="D18" s="9" t="s">
        <v>9</v>
      </c>
    </row>
    <row r="19" spans="1:4" x14ac:dyDescent="0.4">
      <c r="A19" s="7" t="s">
        <v>9</v>
      </c>
      <c r="B19" s="8" t="s">
        <v>9</v>
      </c>
      <c r="C19" s="9" t="s">
        <v>9</v>
      </c>
      <c r="D19" s="9" t="s">
        <v>9</v>
      </c>
    </row>
    <row r="20" spans="1:4" x14ac:dyDescent="0.4">
      <c r="A20" s="7" t="s">
        <v>9</v>
      </c>
      <c r="B20" s="8" t="s">
        <v>9</v>
      </c>
      <c r="C20" s="9" t="s">
        <v>9</v>
      </c>
      <c r="D20" s="9" t="s">
        <v>9</v>
      </c>
    </row>
    <row r="21" spans="1:4" x14ac:dyDescent="0.4">
      <c r="A21" s="7" t="s">
        <v>9</v>
      </c>
      <c r="B21" s="8" t="s">
        <v>9</v>
      </c>
      <c r="C21" s="9" t="s">
        <v>9</v>
      </c>
      <c r="D21" s="9" t="s">
        <v>9</v>
      </c>
    </row>
    <row r="22" spans="1:4" x14ac:dyDescent="0.4">
      <c r="A22" s="7" t="s">
        <v>9</v>
      </c>
      <c r="B22" s="8" t="s">
        <v>9</v>
      </c>
      <c r="C22" s="9" t="s">
        <v>9</v>
      </c>
      <c r="D22" s="9" t="s">
        <v>9</v>
      </c>
    </row>
    <row r="23" spans="1:4" x14ac:dyDescent="0.4">
      <c r="A23" s="7" t="s">
        <v>9</v>
      </c>
      <c r="B23" s="8" t="s">
        <v>9</v>
      </c>
      <c r="C23" s="9" t="s">
        <v>9</v>
      </c>
      <c r="D23" s="9" t="s">
        <v>9</v>
      </c>
    </row>
    <row r="24" spans="1:4" x14ac:dyDescent="0.4">
      <c r="A24" s="7" t="s">
        <v>9</v>
      </c>
      <c r="B24" s="8" t="s">
        <v>9</v>
      </c>
      <c r="C24" s="9" t="s">
        <v>9</v>
      </c>
      <c r="D24" s="9" t="s">
        <v>9</v>
      </c>
    </row>
    <row r="25" spans="1:4" x14ac:dyDescent="0.4">
      <c r="A25" s="7" t="s">
        <v>9</v>
      </c>
      <c r="B25" s="8" t="s">
        <v>9</v>
      </c>
      <c r="C25" s="9" t="s">
        <v>9</v>
      </c>
      <c r="D25" s="9" t="s">
        <v>9</v>
      </c>
    </row>
    <row r="26" spans="1:4" x14ac:dyDescent="0.4">
      <c r="A26" s="7" t="s">
        <v>9</v>
      </c>
      <c r="B26" s="8" t="s">
        <v>9</v>
      </c>
      <c r="C26" s="9" t="s">
        <v>9</v>
      </c>
      <c r="D26" s="9" t="s">
        <v>9</v>
      </c>
    </row>
    <row r="27" spans="1:4" x14ac:dyDescent="0.4">
      <c r="A27" s="7" t="s">
        <v>9</v>
      </c>
      <c r="B27" s="8" t="s">
        <v>9</v>
      </c>
      <c r="C27" s="9" t="s">
        <v>9</v>
      </c>
      <c r="D27" s="9" t="s">
        <v>9</v>
      </c>
    </row>
    <row r="28" spans="1:4" x14ac:dyDescent="0.4">
      <c r="A28" s="7" t="s">
        <v>9</v>
      </c>
      <c r="B28" s="8" t="s">
        <v>9</v>
      </c>
      <c r="C28" s="9" t="s">
        <v>9</v>
      </c>
      <c r="D28" s="9" t="s">
        <v>9</v>
      </c>
    </row>
    <row r="29" spans="1:4" x14ac:dyDescent="0.4">
      <c r="A29" s="7" t="s">
        <v>9</v>
      </c>
      <c r="B29" s="8" t="s">
        <v>9</v>
      </c>
      <c r="C29" s="9" t="s">
        <v>9</v>
      </c>
      <c r="D29" s="9" t="s">
        <v>9</v>
      </c>
    </row>
  </sheetData>
  <pageMargins left="0.7" right="0.7" top="0.75" bottom="0.75" header="0.3" footer="0.3"/>
  <pageSetup orientation="landscape" r:id="rId1"/>
  <headerFooter>
    <oddHeader>&amp;A</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A80-5876-44D2-8C4F-5FF09F95E9BA}">
  <dimension ref="A1:P200"/>
  <sheetViews>
    <sheetView zoomScale="90" zoomScaleNormal="90" workbookViewId="0">
      <pane xSplit="1" ySplit="2" topLeftCell="C32" activePane="bottomRight" state="frozen"/>
      <selection pane="topRight" activeCell="B1" sqref="B1"/>
      <selection pane="bottomLeft" activeCell="A3" sqref="A3"/>
      <selection pane="bottomRight" activeCell="P33" sqref="P33:P34"/>
    </sheetView>
  </sheetViews>
  <sheetFormatPr defaultColWidth="9.3046875" defaultRowHeight="14.6" x14ac:dyDescent="0.4"/>
  <cols>
    <col min="1" max="1" width="18.3828125" style="1" customWidth="1"/>
    <col min="2" max="2" width="24.53515625" style="1" customWidth="1"/>
    <col min="3" max="3" width="25" style="1" customWidth="1"/>
    <col min="4" max="4" width="10.3046875" style="2" customWidth="1"/>
    <col min="5" max="6" width="10.3046875" style="1" customWidth="1"/>
    <col min="7" max="7" width="6.84375" style="2" customWidth="1"/>
    <col min="8" max="8" width="28.53515625" style="1" customWidth="1"/>
    <col min="9" max="9" width="9.69140625" style="2" customWidth="1"/>
    <col min="10" max="10" width="27" style="20" customWidth="1"/>
    <col min="11" max="11" width="19.53515625" style="20" customWidth="1"/>
    <col min="12" max="12" width="10.3046875" style="2" customWidth="1"/>
    <col min="13" max="13" width="8.15234375" style="2" customWidth="1"/>
    <col min="14" max="14" width="7.69140625" style="2" customWidth="1"/>
    <col min="15" max="15" width="12.15234375" style="1" customWidth="1"/>
    <col min="16" max="16" width="38.53515625" style="1" customWidth="1"/>
    <col min="17" max="16384" width="9.3046875" style="1"/>
  </cols>
  <sheetData>
    <row r="1" spans="1:16" x14ac:dyDescent="0.4">
      <c r="A1" s="37"/>
      <c r="B1" s="99" t="s">
        <v>10</v>
      </c>
      <c r="C1" s="100"/>
      <c r="D1" s="100"/>
      <c r="E1" s="100"/>
      <c r="F1" s="100"/>
      <c r="G1" s="100"/>
      <c r="H1" s="101"/>
      <c r="I1" s="38"/>
      <c r="J1" s="98" t="s">
        <v>11</v>
      </c>
      <c r="K1" s="98"/>
      <c r="L1" s="98"/>
      <c r="M1" s="98"/>
      <c r="N1" s="98"/>
      <c r="O1" s="97"/>
      <c r="P1" s="97"/>
    </row>
    <row r="2" spans="1:16" ht="33" customHeight="1" x14ac:dyDescent="0.4">
      <c r="A2" s="37" t="s">
        <v>12</v>
      </c>
      <c r="B2" s="37" t="s">
        <v>13</v>
      </c>
      <c r="C2" s="37" t="s">
        <v>14</v>
      </c>
      <c r="D2" s="39" t="s">
        <v>15</v>
      </c>
      <c r="E2" s="39" t="s">
        <v>16</v>
      </c>
      <c r="F2" s="39" t="s">
        <v>17</v>
      </c>
      <c r="G2" s="39" t="s">
        <v>18</v>
      </c>
      <c r="H2" s="18" t="s">
        <v>19</v>
      </c>
      <c r="I2" s="39" t="s">
        <v>20</v>
      </c>
      <c r="J2" s="40" t="s">
        <v>21</v>
      </c>
      <c r="K2" s="40" t="s">
        <v>22</v>
      </c>
      <c r="L2" s="39" t="s">
        <v>15</v>
      </c>
      <c r="M2" s="39" t="s">
        <v>23</v>
      </c>
      <c r="N2" s="39" t="s">
        <v>24</v>
      </c>
      <c r="O2" s="18" t="s">
        <v>25</v>
      </c>
      <c r="P2" s="18" t="s">
        <v>26</v>
      </c>
    </row>
    <row r="3" spans="1:16" x14ac:dyDescent="0.4">
      <c r="A3" s="14" t="s">
        <v>27</v>
      </c>
      <c r="B3" s="14"/>
      <c r="C3" s="17"/>
      <c r="D3" s="15"/>
      <c r="E3" s="14"/>
      <c r="F3" s="14"/>
      <c r="G3" s="15"/>
      <c r="H3" s="14"/>
      <c r="I3" s="15"/>
      <c r="J3" s="19"/>
      <c r="K3" s="19"/>
      <c r="L3" s="15"/>
      <c r="M3" s="15"/>
      <c r="N3" s="15"/>
      <c r="O3" s="14"/>
      <c r="P3" s="14"/>
    </row>
    <row r="4" spans="1:16" x14ac:dyDescent="0.4">
      <c r="A4" s="16" t="s">
        <v>27</v>
      </c>
      <c r="B4" s="12" t="s">
        <v>27</v>
      </c>
      <c r="C4" s="24" t="s">
        <v>28</v>
      </c>
      <c r="D4" s="41" t="s">
        <v>29</v>
      </c>
      <c r="E4" s="41">
        <v>1</v>
      </c>
      <c r="F4" s="41">
        <v>2</v>
      </c>
      <c r="G4" s="41">
        <v>2</v>
      </c>
      <c r="H4" s="12" t="s">
        <v>30</v>
      </c>
      <c r="I4" s="41" t="s">
        <v>31</v>
      </c>
      <c r="J4" s="42" t="s">
        <v>32</v>
      </c>
      <c r="K4" s="42" t="s">
        <v>32</v>
      </c>
      <c r="L4" s="43" t="s">
        <v>32</v>
      </c>
      <c r="M4" s="43" t="s">
        <v>32</v>
      </c>
      <c r="N4" s="43" t="s">
        <v>32</v>
      </c>
      <c r="O4" s="12"/>
      <c r="P4" s="41"/>
    </row>
    <row r="5" spans="1:16" ht="29.15" x14ac:dyDescent="0.4">
      <c r="A5" s="16" t="s">
        <v>33</v>
      </c>
      <c r="B5" s="12" t="s">
        <v>33</v>
      </c>
      <c r="C5" s="24" t="s">
        <v>34</v>
      </c>
      <c r="D5" s="41" t="s">
        <v>29</v>
      </c>
      <c r="E5" s="41">
        <f>F4+1</f>
        <v>3</v>
      </c>
      <c r="F5" s="41">
        <f>F4+G5</f>
        <v>12</v>
      </c>
      <c r="G5" s="41">
        <v>10</v>
      </c>
      <c r="H5" s="12" t="s">
        <v>35</v>
      </c>
      <c r="I5" s="41" t="s">
        <v>36</v>
      </c>
      <c r="J5" s="42" t="s">
        <v>32</v>
      </c>
      <c r="K5" s="42" t="s">
        <v>32</v>
      </c>
      <c r="L5" s="43" t="s">
        <v>32</v>
      </c>
      <c r="M5" s="43" t="s">
        <v>32</v>
      </c>
      <c r="N5" s="43" t="s">
        <v>32</v>
      </c>
      <c r="O5" s="12"/>
      <c r="P5" s="41"/>
    </row>
    <row r="6" spans="1:16" ht="29.15" x14ac:dyDescent="0.4">
      <c r="A6" s="16" t="s">
        <v>37</v>
      </c>
      <c r="B6" s="12" t="s">
        <v>37</v>
      </c>
      <c r="C6" s="12" t="s">
        <v>38</v>
      </c>
      <c r="D6" s="41" t="s">
        <v>29</v>
      </c>
      <c r="E6" s="41">
        <f>F5+1</f>
        <v>13</v>
      </c>
      <c r="F6" s="41">
        <f>F5+G6</f>
        <v>22</v>
      </c>
      <c r="G6" s="41">
        <v>10</v>
      </c>
      <c r="H6" s="12" t="s">
        <v>39</v>
      </c>
      <c r="I6" s="41" t="s">
        <v>36</v>
      </c>
      <c r="J6" s="42" t="s">
        <v>32</v>
      </c>
      <c r="K6" s="42" t="s">
        <v>32</v>
      </c>
      <c r="L6" s="43" t="s">
        <v>32</v>
      </c>
      <c r="M6" s="43" t="s">
        <v>32</v>
      </c>
      <c r="N6" s="43" t="s">
        <v>32</v>
      </c>
      <c r="O6" s="12"/>
      <c r="P6" s="41"/>
    </row>
    <row r="7" spans="1:16" x14ac:dyDescent="0.4">
      <c r="A7" s="16" t="s">
        <v>40</v>
      </c>
      <c r="B7" s="12" t="s">
        <v>40</v>
      </c>
      <c r="C7" s="12" t="s">
        <v>41</v>
      </c>
      <c r="D7" s="41" t="s">
        <v>42</v>
      </c>
      <c r="E7" s="41">
        <v>23</v>
      </c>
      <c r="F7" s="41">
        <v>984</v>
      </c>
      <c r="G7" s="41">
        <v>962</v>
      </c>
      <c r="H7" s="12"/>
      <c r="I7" s="41" t="s">
        <v>36</v>
      </c>
      <c r="J7" s="42" t="s">
        <v>32</v>
      </c>
      <c r="K7" s="42" t="s">
        <v>32</v>
      </c>
      <c r="L7" s="43" t="s">
        <v>32</v>
      </c>
      <c r="M7" s="43" t="s">
        <v>32</v>
      </c>
      <c r="N7" s="43" t="s">
        <v>32</v>
      </c>
      <c r="O7" s="12"/>
      <c r="P7" s="41"/>
    </row>
    <row r="8" spans="1:16" x14ac:dyDescent="0.4">
      <c r="A8" s="14" t="s">
        <v>43</v>
      </c>
      <c r="B8" s="14"/>
      <c r="C8" s="17"/>
      <c r="D8" s="15"/>
      <c r="E8" s="14"/>
      <c r="F8" s="14"/>
      <c r="G8" s="15"/>
      <c r="H8" s="14"/>
      <c r="I8" s="15"/>
      <c r="J8" s="19"/>
      <c r="K8" s="19"/>
      <c r="L8" s="15"/>
      <c r="M8" s="15"/>
      <c r="N8" s="15"/>
      <c r="O8" s="14"/>
      <c r="P8" s="14"/>
    </row>
    <row r="9" spans="1:16" ht="58.3" x14ac:dyDescent="0.4">
      <c r="A9" s="16" t="s">
        <v>44</v>
      </c>
      <c r="B9" s="12" t="s">
        <v>44</v>
      </c>
      <c r="C9" s="25" t="s">
        <v>45</v>
      </c>
      <c r="D9" s="41" t="s">
        <v>29</v>
      </c>
      <c r="E9" s="41">
        <v>1</v>
      </c>
      <c r="F9" s="41">
        <v>10</v>
      </c>
      <c r="G9" s="41">
        <v>10</v>
      </c>
      <c r="H9" s="12" t="s">
        <v>46</v>
      </c>
      <c r="I9" s="41" t="s">
        <v>36</v>
      </c>
      <c r="J9" s="42" t="s">
        <v>32</v>
      </c>
      <c r="K9" s="42" t="s">
        <v>32</v>
      </c>
      <c r="L9" s="43" t="s">
        <v>32</v>
      </c>
      <c r="M9" s="43" t="s">
        <v>32</v>
      </c>
      <c r="N9" s="43" t="s">
        <v>32</v>
      </c>
      <c r="O9" s="12"/>
      <c r="P9" s="24" t="s">
        <v>516</v>
      </c>
    </row>
    <row r="10" spans="1:16" ht="29.15" x14ac:dyDescent="0.4">
      <c r="A10" s="16" t="s">
        <v>47</v>
      </c>
      <c r="B10" s="12" t="s">
        <v>47</v>
      </c>
      <c r="C10" s="24" t="s">
        <v>48</v>
      </c>
      <c r="D10" s="41" t="s">
        <v>29</v>
      </c>
      <c r="E10" s="41">
        <f>F9+1</f>
        <v>11</v>
      </c>
      <c r="F10" s="41">
        <f>F9+G10</f>
        <v>70</v>
      </c>
      <c r="G10" s="41">
        <v>60</v>
      </c>
      <c r="H10" s="12" t="s">
        <v>49</v>
      </c>
      <c r="I10" s="41" t="s">
        <v>50</v>
      </c>
      <c r="J10" s="42" t="s">
        <v>32</v>
      </c>
      <c r="K10" s="42" t="s">
        <v>32</v>
      </c>
      <c r="L10" s="43" t="s">
        <v>32</v>
      </c>
      <c r="M10" s="43" t="s">
        <v>32</v>
      </c>
      <c r="N10" s="43" t="s">
        <v>32</v>
      </c>
      <c r="O10" s="12" t="s">
        <v>51</v>
      </c>
      <c r="P10" s="12" t="s">
        <v>52</v>
      </c>
    </row>
    <row r="11" spans="1:16" ht="29.15" x14ac:dyDescent="0.4">
      <c r="A11" s="16" t="s">
        <v>53</v>
      </c>
      <c r="B11" s="12" t="s">
        <v>53</v>
      </c>
      <c r="C11" s="12" t="s">
        <v>54</v>
      </c>
      <c r="D11" s="41" t="s">
        <v>29</v>
      </c>
      <c r="E11" s="41">
        <f>F10+1</f>
        <v>71</v>
      </c>
      <c r="F11" s="41">
        <f>F10+G11</f>
        <v>105</v>
      </c>
      <c r="G11" s="41">
        <v>35</v>
      </c>
      <c r="H11" s="12" t="s">
        <v>49</v>
      </c>
      <c r="I11" s="41" t="s">
        <v>50</v>
      </c>
      <c r="J11" s="42" t="s">
        <v>32</v>
      </c>
      <c r="K11" s="42" t="s">
        <v>32</v>
      </c>
      <c r="L11" s="43" t="s">
        <v>32</v>
      </c>
      <c r="M11" s="43" t="s">
        <v>32</v>
      </c>
      <c r="N11" s="43" t="s">
        <v>32</v>
      </c>
      <c r="O11" s="12" t="s">
        <v>51</v>
      </c>
      <c r="P11" s="12" t="s">
        <v>52</v>
      </c>
    </row>
    <row r="12" spans="1:16" ht="29.15" x14ac:dyDescent="0.4">
      <c r="A12" s="16" t="s">
        <v>55</v>
      </c>
      <c r="B12" s="12" t="s">
        <v>55</v>
      </c>
      <c r="C12" s="12" t="s">
        <v>56</v>
      </c>
      <c r="D12" s="41" t="s">
        <v>42</v>
      </c>
      <c r="E12" s="41">
        <f>F11+1</f>
        <v>106</v>
      </c>
      <c r="F12" s="41">
        <f t="shared" ref="F12:F46" si="0">F11+G12</f>
        <v>130</v>
      </c>
      <c r="G12" s="41">
        <v>25</v>
      </c>
      <c r="H12" s="12" t="s">
        <v>49</v>
      </c>
      <c r="I12" s="41" t="s">
        <v>50</v>
      </c>
      <c r="J12" s="42" t="s">
        <v>32</v>
      </c>
      <c r="K12" s="42" t="s">
        <v>32</v>
      </c>
      <c r="L12" s="43" t="s">
        <v>32</v>
      </c>
      <c r="M12" s="43" t="s">
        <v>32</v>
      </c>
      <c r="N12" s="43" t="s">
        <v>32</v>
      </c>
      <c r="O12" s="12" t="s">
        <v>51</v>
      </c>
      <c r="P12" s="12" t="s">
        <v>52</v>
      </c>
    </row>
    <row r="13" spans="1:16" ht="29.15" x14ac:dyDescent="0.4">
      <c r="A13" s="16" t="s">
        <v>57</v>
      </c>
      <c r="B13" s="12" t="s">
        <v>57</v>
      </c>
      <c r="C13" s="12" t="s">
        <v>58</v>
      </c>
      <c r="D13" s="41" t="s">
        <v>42</v>
      </c>
      <c r="E13" s="41">
        <f t="shared" ref="E13:E77" si="1">F12+1</f>
        <v>131</v>
      </c>
      <c r="F13" s="41">
        <f t="shared" si="0"/>
        <v>133</v>
      </c>
      <c r="G13" s="41">
        <v>3</v>
      </c>
      <c r="H13" s="12"/>
      <c r="I13" s="41" t="s">
        <v>50</v>
      </c>
      <c r="J13" s="42" t="s">
        <v>32</v>
      </c>
      <c r="K13" s="42" t="s">
        <v>32</v>
      </c>
      <c r="L13" s="43" t="s">
        <v>32</v>
      </c>
      <c r="M13" s="43" t="s">
        <v>32</v>
      </c>
      <c r="N13" s="43" t="s">
        <v>32</v>
      </c>
      <c r="O13" s="12" t="s">
        <v>51</v>
      </c>
      <c r="P13" s="12" t="s">
        <v>52</v>
      </c>
    </row>
    <row r="14" spans="1:16" ht="29.15" x14ac:dyDescent="0.4">
      <c r="A14" s="16" t="s">
        <v>59</v>
      </c>
      <c r="B14" s="12" t="s">
        <v>59</v>
      </c>
      <c r="C14" s="12" t="s">
        <v>60</v>
      </c>
      <c r="D14" s="41" t="s">
        <v>29</v>
      </c>
      <c r="E14" s="41">
        <f t="shared" si="1"/>
        <v>134</v>
      </c>
      <c r="F14" s="41">
        <f t="shared" si="0"/>
        <v>142</v>
      </c>
      <c r="G14" s="41">
        <v>9</v>
      </c>
      <c r="H14" s="12"/>
      <c r="I14" s="41" t="s">
        <v>50</v>
      </c>
      <c r="J14" s="42" t="s">
        <v>32</v>
      </c>
      <c r="K14" s="42" t="s">
        <v>32</v>
      </c>
      <c r="L14" s="43" t="s">
        <v>32</v>
      </c>
      <c r="M14" s="43" t="s">
        <v>32</v>
      </c>
      <c r="N14" s="43" t="s">
        <v>32</v>
      </c>
      <c r="O14" s="12" t="s">
        <v>51</v>
      </c>
      <c r="P14" s="12" t="s">
        <v>52</v>
      </c>
    </row>
    <row r="15" spans="1:16" ht="29.15" x14ac:dyDescent="0.4">
      <c r="A15" s="16" t="s">
        <v>61</v>
      </c>
      <c r="B15" s="12" t="s">
        <v>61</v>
      </c>
      <c r="C15" s="12" t="s">
        <v>62</v>
      </c>
      <c r="D15" s="41" t="s">
        <v>63</v>
      </c>
      <c r="E15" s="41">
        <f t="shared" si="1"/>
        <v>143</v>
      </c>
      <c r="F15" s="41">
        <f t="shared" si="0"/>
        <v>150</v>
      </c>
      <c r="G15" s="41">
        <v>8</v>
      </c>
      <c r="H15" s="12" t="s">
        <v>64</v>
      </c>
      <c r="I15" s="41" t="s">
        <v>50</v>
      </c>
      <c r="J15" s="42" t="s">
        <v>32</v>
      </c>
      <c r="K15" s="42" t="s">
        <v>32</v>
      </c>
      <c r="L15" s="43" t="s">
        <v>32</v>
      </c>
      <c r="M15" s="43" t="s">
        <v>32</v>
      </c>
      <c r="N15" s="43" t="s">
        <v>32</v>
      </c>
      <c r="O15" s="12" t="s">
        <v>51</v>
      </c>
      <c r="P15" s="12" t="s">
        <v>52</v>
      </c>
    </row>
    <row r="16" spans="1:16" ht="43.75" x14ac:dyDescent="0.4">
      <c r="A16" s="16" t="s">
        <v>65</v>
      </c>
      <c r="B16" s="12" t="s">
        <v>65</v>
      </c>
      <c r="C16" s="26" t="s">
        <v>66</v>
      </c>
      <c r="D16" s="41" t="s">
        <v>67</v>
      </c>
      <c r="E16" s="41">
        <f t="shared" si="1"/>
        <v>151</v>
      </c>
      <c r="F16" s="41">
        <f t="shared" si="0"/>
        <v>158</v>
      </c>
      <c r="G16" s="41">
        <v>8</v>
      </c>
      <c r="H16" s="12" t="s">
        <v>68</v>
      </c>
      <c r="I16" s="41" t="s">
        <v>50</v>
      </c>
      <c r="J16" s="44" t="s">
        <v>69</v>
      </c>
      <c r="K16" s="44" t="s">
        <v>70</v>
      </c>
      <c r="L16" s="41" t="s">
        <v>71</v>
      </c>
      <c r="M16" s="43" t="s">
        <v>32</v>
      </c>
      <c r="N16" s="43" t="s">
        <v>32</v>
      </c>
      <c r="O16" s="12" t="s">
        <v>243</v>
      </c>
      <c r="P16" s="24" t="s">
        <v>466</v>
      </c>
    </row>
    <row r="17" spans="1:16" ht="29.15" x14ac:dyDescent="0.4">
      <c r="A17" s="16" t="s">
        <v>72</v>
      </c>
      <c r="B17" s="12" t="s">
        <v>72</v>
      </c>
      <c r="C17" s="12" t="s">
        <v>73</v>
      </c>
      <c r="D17" s="41" t="s">
        <v>29</v>
      </c>
      <c r="E17" s="41">
        <f t="shared" si="1"/>
        <v>159</v>
      </c>
      <c r="F17" s="41">
        <f t="shared" si="0"/>
        <v>159</v>
      </c>
      <c r="G17" s="41">
        <v>1</v>
      </c>
      <c r="H17" s="12" t="s">
        <v>74</v>
      </c>
      <c r="I17" s="41" t="s">
        <v>50</v>
      </c>
      <c r="J17" s="42" t="s">
        <v>32</v>
      </c>
      <c r="K17" s="42" t="s">
        <v>32</v>
      </c>
      <c r="L17" s="43" t="s">
        <v>32</v>
      </c>
      <c r="M17" s="43" t="s">
        <v>32</v>
      </c>
      <c r="N17" s="43" t="s">
        <v>32</v>
      </c>
      <c r="O17" s="12" t="s">
        <v>51</v>
      </c>
      <c r="P17" s="12" t="s">
        <v>52</v>
      </c>
    </row>
    <row r="18" spans="1:16" ht="87.45" x14ac:dyDescent="0.4">
      <c r="A18" s="16" t="s">
        <v>75</v>
      </c>
      <c r="B18" s="12" t="s">
        <v>75</v>
      </c>
      <c r="C18" s="12" t="s">
        <v>76</v>
      </c>
      <c r="D18" s="41" t="s">
        <v>67</v>
      </c>
      <c r="E18" s="41">
        <f t="shared" si="1"/>
        <v>160</v>
      </c>
      <c r="F18" s="41">
        <f t="shared" si="0"/>
        <v>167</v>
      </c>
      <c r="G18" s="41">
        <v>8</v>
      </c>
      <c r="H18" s="12" t="s">
        <v>77</v>
      </c>
      <c r="I18" s="41" t="s">
        <v>50</v>
      </c>
      <c r="J18" s="44" t="s">
        <v>78</v>
      </c>
      <c r="K18" s="44" t="s">
        <v>79</v>
      </c>
      <c r="L18" s="41" t="s">
        <v>71</v>
      </c>
      <c r="M18" s="43" t="s">
        <v>32</v>
      </c>
      <c r="N18" s="43" t="s">
        <v>32</v>
      </c>
      <c r="O18" s="12"/>
      <c r="P18" s="24" t="s">
        <v>467</v>
      </c>
    </row>
    <row r="19" spans="1:16" ht="43.75" x14ac:dyDescent="0.4">
      <c r="A19" s="16" t="s">
        <v>80</v>
      </c>
      <c r="B19" s="12" t="s">
        <v>80</v>
      </c>
      <c r="C19" s="12" t="s">
        <v>81</v>
      </c>
      <c r="D19" s="41" t="s">
        <v>67</v>
      </c>
      <c r="E19" s="41">
        <f t="shared" si="1"/>
        <v>168</v>
      </c>
      <c r="F19" s="41">
        <f t="shared" si="0"/>
        <v>175</v>
      </c>
      <c r="G19" s="41">
        <v>8</v>
      </c>
      <c r="H19" s="12" t="s">
        <v>68</v>
      </c>
      <c r="I19" s="41" t="s">
        <v>50</v>
      </c>
      <c r="J19" s="44" t="s">
        <v>78</v>
      </c>
      <c r="K19" s="44" t="s">
        <v>82</v>
      </c>
      <c r="L19" s="41" t="s">
        <v>71</v>
      </c>
      <c r="M19" s="43" t="s">
        <v>32</v>
      </c>
      <c r="N19" s="43" t="s">
        <v>32</v>
      </c>
      <c r="O19" s="12"/>
      <c r="P19" s="12" t="s">
        <v>83</v>
      </c>
    </row>
    <row r="20" spans="1:16" ht="72.900000000000006" x14ac:dyDescent="0.4">
      <c r="A20" s="21" t="s">
        <v>383</v>
      </c>
      <c r="B20" s="12" t="s">
        <v>383</v>
      </c>
      <c r="C20" s="12" t="s">
        <v>84</v>
      </c>
      <c r="D20" s="41" t="s">
        <v>42</v>
      </c>
      <c r="E20" s="41">
        <f t="shared" si="1"/>
        <v>176</v>
      </c>
      <c r="F20" s="41">
        <f t="shared" si="0"/>
        <v>180</v>
      </c>
      <c r="G20" s="41">
        <v>5</v>
      </c>
      <c r="H20" s="12" t="s">
        <v>85</v>
      </c>
      <c r="I20" s="41" t="s">
        <v>50</v>
      </c>
      <c r="J20" s="42" t="s">
        <v>32</v>
      </c>
      <c r="K20" s="42" t="s">
        <v>32</v>
      </c>
      <c r="L20" s="43" t="s">
        <v>32</v>
      </c>
      <c r="M20" s="43" t="s">
        <v>32</v>
      </c>
      <c r="N20" s="43" t="s">
        <v>32</v>
      </c>
      <c r="O20" s="12"/>
      <c r="P20" s="24" t="s">
        <v>52</v>
      </c>
    </row>
    <row r="21" spans="1:16" ht="29.15" x14ac:dyDescent="0.4">
      <c r="A21" s="21" t="s">
        <v>87</v>
      </c>
      <c r="B21" s="12" t="s">
        <v>87</v>
      </c>
      <c r="C21" s="12" t="s">
        <v>88</v>
      </c>
      <c r="D21" s="41" t="s">
        <v>42</v>
      </c>
      <c r="E21" s="41">
        <f t="shared" si="1"/>
        <v>181</v>
      </c>
      <c r="F21" s="41">
        <f t="shared" si="0"/>
        <v>195</v>
      </c>
      <c r="G21" s="41">
        <v>15</v>
      </c>
      <c r="H21" s="12" t="s">
        <v>89</v>
      </c>
      <c r="I21" s="41" t="s">
        <v>50</v>
      </c>
      <c r="J21" s="42" t="s">
        <v>32</v>
      </c>
      <c r="K21" s="42" t="s">
        <v>32</v>
      </c>
      <c r="L21" s="43" t="s">
        <v>32</v>
      </c>
      <c r="M21" s="43" t="s">
        <v>32</v>
      </c>
      <c r="N21" s="43" t="s">
        <v>32</v>
      </c>
      <c r="O21" s="12"/>
      <c r="P21" s="24" t="s">
        <v>52</v>
      </c>
    </row>
    <row r="22" spans="1:16" ht="29.15" x14ac:dyDescent="0.4">
      <c r="A22" s="21" t="s">
        <v>91</v>
      </c>
      <c r="B22" s="12" t="s">
        <v>91</v>
      </c>
      <c r="C22" s="12" t="s">
        <v>92</v>
      </c>
      <c r="D22" s="41" t="s">
        <v>42</v>
      </c>
      <c r="E22" s="41">
        <f t="shared" si="1"/>
        <v>196</v>
      </c>
      <c r="F22" s="41">
        <f t="shared" si="0"/>
        <v>245</v>
      </c>
      <c r="G22" s="41">
        <v>50</v>
      </c>
      <c r="H22" s="12" t="s">
        <v>49</v>
      </c>
      <c r="I22" s="41" t="s">
        <v>50</v>
      </c>
      <c r="J22" s="42" t="s">
        <v>32</v>
      </c>
      <c r="K22" s="42" t="s">
        <v>32</v>
      </c>
      <c r="L22" s="43" t="s">
        <v>32</v>
      </c>
      <c r="M22" s="43" t="s">
        <v>32</v>
      </c>
      <c r="N22" s="43" t="s">
        <v>32</v>
      </c>
      <c r="O22" s="12"/>
      <c r="P22" s="24" t="s">
        <v>52</v>
      </c>
    </row>
    <row r="23" spans="1:16" ht="29.15" x14ac:dyDescent="0.4">
      <c r="A23" s="21" t="s">
        <v>93</v>
      </c>
      <c r="B23" s="12" t="s">
        <v>93</v>
      </c>
      <c r="C23" s="12" t="s">
        <v>94</v>
      </c>
      <c r="D23" s="41" t="s">
        <v>42</v>
      </c>
      <c r="E23" s="41">
        <f t="shared" si="1"/>
        <v>246</v>
      </c>
      <c r="F23" s="41">
        <f t="shared" si="0"/>
        <v>253</v>
      </c>
      <c r="G23" s="41">
        <v>8</v>
      </c>
      <c r="H23" s="12" t="s">
        <v>64</v>
      </c>
      <c r="I23" s="41" t="s">
        <v>50</v>
      </c>
      <c r="J23" s="42" t="s">
        <v>32</v>
      </c>
      <c r="K23" s="42" t="s">
        <v>32</v>
      </c>
      <c r="L23" s="43" t="s">
        <v>32</v>
      </c>
      <c r="M23" s="43" t="s">
        <v>32</v>
      </c>
      <c r="N23" s="43" t="s">
        <v>32</v>
      </c>
      <c r="O23" s="12"/>
      <c r="P23" s="24" t="s">
        <v>52</v>
      </c>
    </row>
    <row r="24" spans="1:16" ht="29.15" x14ac:dyDescent="0.4">
      <c r="A24" s="21" t="s">
        <v>95</v>
      </c>
      <c r="B24" s="12" t="s">
        <v>95</v>
      </c>
      <c r="C24" s="12" t="s">
        <v>96</v>
      </c>
      <c r="D24" s="41" t="s">
        <v>42</v>
      </c>
      <c r="E24" s="41">
        <f>F23+1</f>
        <v>254</v>
      </c>
      <c r="F24" s="41">
        <f>F23+G24</f>
        <v>261</v>
      </c>
      <c r="G24" s="41">
        <v>8</v>
      </c>
      <c r="H24" s="12" t="s">
        <v>64</v>
      </c>
      <c r="I24" s="41" t="s">
        <v>50</v>
      </c>
      <c r="J24" s="42" t="s">
        <v>32</v>
      </c>
      <c r="K24" s="42" t="s">
        <v>32</v>
      </c>
      <c r="L24" s="43" t="s">
        <v>32</v>
      </c>
      <c r="M24" s="43" t="s">
        <v>32</v>
      </c>
      <c r="N24" s="43" t="s">
        <v>32</v>
      </c>
      <c r="O24" s="12"/>
      <c r="P24" s="24" t="s">
        <v>52</v>
      </c>
    </row>
    <row r="25" spans="1:16" ht="87.45" x14ac:dyDescent="0.4">
      <c r="A25" s="22" t="s">
        <v>98</v>
      </c>
      <c r="B25" s="12" t="s">
        <v>98</v>
      </c>
      <c r="C25" s="26" t="s">
        <v>99</v>
      </c>
      <c r="D25" s="41" t="s">
        <v>67</v>
      </c>
      <c r="E25" s="41">
        <f>F24+1</f>
        <v>262</v>
      </c>
      <c r="F25" s="41">
        <v>269</v>
      </c>
      <c r="G25" s="41" t="s">
        <v>100</v>
      </c>
      <c r="H25" s="12" t="s">
        <v>101</v>
      </c>
      <c r="I25" s="41" t="s">
        <v>50</v>
      </c>
      <c r="J25" s="44" t="s">
        <v>102</v>
      </c>
      <c r="K25" s="44" t="s">
        <v>103</v>
      </c>
      <c r="L25" s="41" t="s">
        <v>104</v>
      </c>
      <c r="M25" s="41" t="s">
        <v>105</v>
      </c>
      <c r="N25" s="41" t="s">
        <v>106</v>
      </c>
      <c r="O25" s="12" t="s">
        <v>107</v>
      </c>
      <c r="P25" s="24" t="s">
        <v>108</v>
      </c>
    </row>
    <row r="26" spans="1:16" ht="87.45" x14ac:dyDescent="0.4">
      <c r="A26" s="22" t="s">
        <v>109</v>
      </c>
      <c r="B26" s="12" t="s">
        <v>109</v>
      </c>
      <c r="C26" s="12" t="s">
        <v>110</v>
      </c>
      <c r="D26" s="41" t="s">
        <v>42</v>
      </c>
      <c r="E26" s="41">
        <f t="shared" si="1"/>
        <v>270</v>
      </c>
      <c r="F26" s="41">
        <f>F25+G26</f>
        <v>271</v>
      </c>
      <c r="G26" s="41">
        <v>2</v>
      </c>
      <c r="H26" s="12" t="s">
        <v>111</v>
      </c>
      <c r="I26" s="41" t="s">
        <v>50</v>
      </c>
      <c r="J26" s="42" t="s">
        <v>32</v>
      </c>
      <c r="K26" s="42" t="s">
        <v>32</v>
      </c>
      <c r="L26" s="43" t="s">
        <v>32</v>
      </c>
      <c r="M26" s="43" t="s">
        <v>32</v>
      </c>
      <c r="N26" s="43" t="s">
        <v>32</v>
      </c>
      <c r="O26" s="12"/>
      <c r="P26" s="12" t="s">
        <v>405</v>
      </c>
    </row>
    <row r="27" spans="1:16" ht="87.45" x14ac:dyDescent="0.4">
      <c r="A27" s="22" t="s">
        <v>112</v>
      </c>
      <c r="B27" s="12" t="s">
        <v>112</v>
      </c>
      <c r="C27" s="12" t="s">
        <v>113</v>
      </c>
      <c r="D27" s="41" t="s">
        <v>67</v>
      </c>
      <c r="E27" s="41">
        <f t="shared" si="1"/>
        <v>272</v>
      </c>
      <c r="F27" s="41">
        <f t="shared" si="0"/>
        <v>280</v>
      </c>
      <c r="G27" s="41">
        <v>9</v>
      </c>
      <c r="H27" s="12" t="s">
        <v>114</v>
      </c>
      <c r="I27" s="41" t="s">
        <v>50</v>
      </c>
      <c r="J27" s="42" t="s">
        <v>32</v>
      </c>
      <c r="K27" s="42" t="s">
        <v>32</v>
      </c>
      <c r="L27" s="43" t="s">
        <v>32</v>
      </c>
      <c r="M27" s="43" t="s">
        <v>32</v>
      </c>
      <c r="N27" s="43" t="s">
        <v>32</v>
      </c>
      <c r="O27" s="12" t="s">
        <v>115</v>
      </c>
      <c r="P27" s="12" t="s">
        <v>116</v>
      </c>
    </row>
    <row r="28" spans="1:16" ht="102" x14ac:dyDescent="0.4">
      <c r="A28" s="66" t="s">
        <v>117</v>
      </c>
      <c r="B28" s="68" t="s">
        <v>117</v>
      </c>
      <c r="C28" s="68" t="s">
        <v>118</v>
      </c>
      <c r="D28" s="67" t="s">
        <v>63</v>
      </c>
      <c r="E28" s="67">
        <f t="shared" si="1"/>
        <v>281</v>
      </c>
      <c r="F28" s="67">
        <f t="shared" si="0"/>
        <v>288</v>
      </c>
      <c r="G28" s="67">
        <v>8</v>
      </c>
      <c r="H28" s="68" t="s">
        <v>64</v>
      </c>
      <c r="I28" s="67" t="s">
        <v>50</v>
      </c>
      <c r="J28" s="42" t="s">
        <v>32</v>
      </c>
      <c r="K28" s="42" t="s">
        <v>32</v>
      </c>
      <c r="L28" s="43" t="s">
        <v>32</v>
      </c>
      <c r="M28" s="43" t="s">
        <v>32</v>
      </c>
      <c r="N28" s="43" t="s">
        <v>32</v>
      </c>
      <c r="O28" s="68" t="s">
        <v>107</v>
      </c>
      <c r="P28" s="69" t="s">
        <v>414</v>
      </c>
    </row>
    <row r="29" spans="1:16" ht="29.15" x14ac:dyDescent="0.4">
      <c r="A29" s="22" t="s">
        <v>119</v>
      </c>
      <c r="B29" s="12" t="s">
        <v>119</v>
      </c>
      <c r="C29" s="12" t="s">
        <v>120</v>
      </c>
      <c r="D29" s="41" t="s">
        <v>63</v>
      </c>
      <c r="E29" s="41">
        <f>F28+1</f>
        <v>289</v>
      </c>
      <c r="F29" s="41">
        <f>F28+G29</f>
        <v>296</v>
      </c>
      <c r="G29" s="41">
        <v>8</v>
      </c>
      <c r="H29" s="12" t="s">
        <v>64</v>
      </c>
      <c r="I29" s="41" t="s">
        <v>50</v>
      </c>
      <c r="J29" s="42" t="s">
        <v>32</v>
      </c>
      <c r="K29" s="42" t="s">
        <v>32</v>
      </c>
      <c r="L29" s="43" t="s">
        <v>32</v>
      </c>
      <c r="M29" s="43" t="s">
        <v>32</v>
      </c>
      <c r="N29" s="43" t="s">
        <v>32</v>
      </c>
      <c r="O29" s="12"/>
      <c r="P29" s="12" t="s">
        <v>52</v>
      </c>
    </row>
    <row r="30" spans="1:16" ht="145.75" x14ac:dyDescent="0.4">
      <c r="A30" s="23" t="s">
        <v>121</v>
      </c>
      <c r="B30" s="12" t="s">
        <v>121</v>
      </c>
      <c r="C30" s="26" t="s">
        <v>122</v>
      </c>
      <c r="D30" s="41" t="s">
        <v>42</v>
      </c>
      <c r="E30" s="41">
        <f t="shared" si="1"/>
        <v>297</v>
      </c>
      <c r="F30" s="41">
        <f t="shared" si="0"/>
        <v>306</v>
      </c>
      <c r="G30" s="41">
        <v>10</v>
      </c>
      <c r="H30" s="24" t="s">
        <v>123</v>
      </c>
      <c r="I30" s="41" t="s">
        <v>50</v>
      </c>
      <c r="J30" s="42" t="s">
        <v>32</v>
      </c>
      <c r="K30" s="42" t="s">
        <v>32</v>
      </c>
      <c r="L30" s="43" t="s">
        <v>32</v>
      </c>
      <c r="M30" s="43" t="s">
        <v>32</v>
      </c>
      <c r="N30" s="43" t="s">
        <v>32</v>
      </c>
      <c r="O30" s="12" t="s">
        <v>129</v>
      </c>
      <c r="P30" s="86" t="s">
        <v>511</v>
      </c>
    </row>
    <row r="31" spans="1:16" ht="102" x14ac:dyDescent="0.4">
      <c r="A31" s="23" t="s">
        <v>124</v>
      </c>
      <c r="B31" s="12" t="s">
        <v>124</v>
      </c>
      <c r="C31" s="26" t="s">
        <v>125</v>
      </c>
      <c r="D31" s="41" t="s">
        <v>42</v>
      </c>
      <c r="E31" s="41">
        <f t="shared" si="1"/>
        <v>307</v>
      </c>
      <c r="F31" s="41">
        <f t="shared" si="0"/>
        <v>331</v>
      </c>
      <c r="G31" s="41">
        <v>25</v>
      </c>
      <c r="H31" s="12" t="s">
        <v>126</v>
      </c>
      <c r="I31" s="41" t="s">
        <v>50</v>
      </c>
      <c r="J31" s="42" t="s">
        <v>32</v>
      </c>
      <c r="K31" s="42" t="s">
        <v>32</v>
      </c>
      <c r="L31" s="43" t="s">
        <v>32</v>
      </c>
      <c r="M31" s="43" t="s">
        <v>32</v>
      </c>
      <c r="N31" s="43" t="s">
        <v>32</v>
      </c>
      <c r="O31" s="12" t="s">
        <v>129</v>
      </c>
      <c r="P31" s="84" t="s">
        <v>510</v>
      </c>
    </row>
    <row r="32" spans="1:16" ht="145.75" x14ac:dyDescent="0.4">
      <c r="A32" s="23" t="s">
        <v>127</v>
      </c>
      <c r="B32" s="12" t="s">
        <v>127</v>
      </c>
      <c r="C32" s="12" t="s">
        <v>128</v>
      </c>
      <c r="D32" s="41" t="s">
        <v>67</v>
      </c>
      <c r="E32" s="41">
        <f t="shared" si="1"/>
        <v>332</v>
      </c>
      <c r="F32" s="41">
        <f t="shared" si="0"/>
        <v>339</v>
      </c>
      <c r="G32" s="41">
        <v>8</v>
      </c>
      <c r="H32" s="12" t="s">
        <v>64</v>
      </c>
      <c r="I32" s="41" t="s">
        <v>50</v>
      </c>
      <c r="J32" s="42" t="s">
        <v>32</v>
      </c>
      <c r="K32" s="42" t="s">
        <v>32</v>
      </c>
      <c r="L32" s="43" t="s">
        <v>32</v>
      </c>
      <c r="M32" s="43" t="s">
        <v>32</v>
      </c>
      <c r="N32" s="43" t="s">
        <v>32</v>
      </c>
      <c r="O32" s="12" t="s">
        <v>129</v>
      </c>
      <c r="P32" s="86" t="s">
        <v>509</v>
      </c>
    </row>
    <row r="33" spans="1:16" ht="110.25" customHeight="1" x14ac:dyDescent="0.4">
      <c r="A33" s="102" t="s">
        <v>130</v>
      </c>
      <c r="B33" s="104" t="s">
        <v>130</v>
      </c>
      <c r="C33" s="104" t="s">
        <v>131</v>
      </c>
      <c r="D33" s="106" t="s">
        <v>67</v>
      </c>
      <c r="E33" s="106">
        <f>F32+1</f>
        <v>340</v>
      </c>
      <c r="F33" s="106">
        <f>F32+G33</f>
        <v>347</v>
      </c>
      <c r="G33" s="106">
        <v>8</v>
      </c>
      <c r="H33" s="104" t="s">
        <v>64</v>
      </c>
      <c r="I33" s="106" t="s">
        <v>50</v>
      </c>
      <c r="J33" s="44" t="s">
        <v>86</v>
      </c>
      <c r="K33" s="44" t="s">
        <v>97</v>
      </c>
      <c r="L33" s="41" t="s">
        <v>71</v>
      </c>
      <c r="M33" s="43" t="s">
        <v>32</v>
      </c>
      <c r="N33" s="43" t="s">
        <v>32</v>
      </c>
      <c r="O33" s="104" t="s">
        <v>469</v>
      </c>
      <c r="P33" s="108" t="s">
        <v>532</v>
      </c>
    </row>
    <row r="34" spans="1:16" ht="110.25" customHeight="1" x14ac:dyDescent="0.4">
      <c r="A34" s="103"/>
      <c r="B34" s="105"/>
      <c r="C34" s="105"/>
      <c r="D34" s="107"/>
      <c r="E34" s="107"/>
      <c r="F34" s="107"/>
      <c r="G34" s="107"/>
      <c r="H34" s="105"/>
      <c r="I34" s="107"/>
      <c r="J34" s="87" t="s">
        <v>86</v>
      </c>
      <c r="K34" s="87" t="s">
        <v>479</v>
      </c>
      <c r="L34" s="41" t="s">
        <v>71</v>
      </c>
      <c r="M34" s="43" t="s">
        <v>32</v>
      </c>
      <c r="N34" s="43" t="s">
        <v>32</v>
      </c>
      <c r="O34" s="105"/>
      <c r="P34" s="109"/>
    </row>
    <row r="35" spans="1:16" ht="58.3" x14ac:dyDescent="0.4">
      <c r="A35" s="23" t="s">
        <v>132</v>
      </c>
      <c r="B35" s="12" t="s">
        <v>132</v>
      </c>
      <c r="C35" s="26" t="s">
        <v>133</v>
      </c>
      <c r="D35" s="41" t="s">
        <v>42</v>
      </c>
      <c r="E35" s="41">
        <f>F33+1</f>
        <v>348</v>
      </c>
      <c r="F35" s="41">
        <f>F33+G35</f>
        <v>348</v>
      </c>
      <c r="G35" s="41">
        <v>1</v>
      </c>
      <c r="H35" s="12" t="s">
        <v>134</v>
      </c>
      <c r="I35" s="41" t="s">
        <v>50</v>
      </c>
      <c r="J35" s="87" t="s">
        <v>32</v>
      </c>
      <c r="K35" s="87" t="s">
        <v>32</v>
      </c>
      <c r="L35" s="88" t="s">
        <v>32</v>
      </c>
      <c r="M35" s="88" t="s">
        <v>32</v>
      </c>
      <c r="N35" s="88" t="s">
        <v>32</v>
      </c>
      <c r="O35" s="12" t="s">
        <v>279</v>
      </c>
      <c r="P35" s="84" t="s">
        <v>512</v>
      </c>
    </row>
    <row r="36" spans="1:16" ht="160.30000000000001" x14ac:dyDescent="0.4">
      <c r="A36" s="23" t="s">
        <v>136</v>
      </c>
      <c r="B36" s="12" t="s">
        <v>136</v>
      </c>
      <c r="C36" s="26" t="s">
        <v>137</v>
      </c>
      <c r="D36" s="41" t="s">
        <v>42</v>
      </c>
      <c r="E36" s="41">
        <f t="shared" si="1"/>
        <v>349</v>
      </c>
      <c r="F36" s="41">
        <f t="shared" si="0"/>
        <v>350</v>
      </c>
      <c r="G36" s="41">
        <v>2</v>
      </c>
      <c r="H36" s="12"/>
      <c r="I36" s="41" t="s">
        <v>50</v>
      </c>
      <c r="J36" s="42" t="s">
        <v>32</v>
      </c>
      <c r="K36" s="42" t="s">
        <v>32</v>
      </c>
      <c r="L36" s="43" t="s">
        <v>32</v>
      </c>
      <c r="M36" s="43" t="s">
        <v>32</v>
      </c>
      <c r="N36" s="43" t="s">
        <v>32</v>
      </c>
      <c r="O36" s="12" t="s">
        <v>412</v>
      </c>
      <c r="P36" s="84" t="s">
        <v>513</v>
      </c>
    </row>
    <row r="37" spans="1:16" ht="247.75" x14ac:dyDescent="0.4">
      <c r="A37" s="23" t="s">
        <v>138</v>
      </c>
      <c r="B37" s="12" t="s">
        <v>138</v>
      </c>
      <c r="C37" s="26" t="s">
        <v>139</v>
      </c>
      <c r="D37" s="41" t="s">
        <v>42</v>
      </c>
      <c r="E37" s="41">
        <f t="shared" si="1"/>
        <v>351</v>
      </c>
      <c r="F37" s="41">
        <f t="shared" si="0"/>
        <v>352</v>
      </c>
      <c r="G37" s="41">
        <v>2</v>
      </c>
      <c r="H37" s="12"/>
      <c r="I37" s="41" t="s">
        <v>50</v>
      </c>
      <c r="J37" s="44" t="s">
        <v>86</v>
      </c>
      <c r="K37" s="44" t="s">
        <v>140</v>
      </c>
      <c r="L37" s="41" t="s">
        <v>90</v>
      </c>
      <c r="M37" s="41">
        <v>4000</v>
      </c>
      <c r="N37" s="43" t="s">
        <v>32</v>
      </c>
      <c r="O37" s="12" t="s">
        <v>468</v>
      </c>
      <c r="P37" s="86" t="s">
        <v>514</v>
      </c>
    </row>
    <row r="38" spans="1:16" ht="72.900000000000006" x14ac:dyDescent="0.4">
      <c r="A38" s="16" t="s">
        <v>121</v>
      </c>
      <c r="B38" s="12" t="s">
        <v>121</v>
      </c>
      <c r="C38" s="26" t="s">
        <v>122</v>
      </c>
      <c r="D38" s="41" t="s">
        <v>42</v>
      </c>
      <c r="E38" s="41">
        <f t="shared" si="1"/>
        <v>353</v>
      </c>
      <c r="F38" s="41">
        <f t="shared" si="0"/>
        <v>362</v>
      </c>
      <c r="G38" s="41">
        <v>10</v>
      </c>
      <c r="H38" s="12"/>
      <c r="I38" s="41" t="s">
        <v>50</v>
      </c>
      <c r="J38" s="42" t="s">
        <v>32</v>
      </c>
      <c r="K38" s="42" t="s">
        <v>32</v>
      </c>
      <c r="L38" s="43" t="s">
        <v>32</v>
      </c>
      <c r="M38" s="43" t="s">
        <v>32</v>
      </c>
      <c r="N38" s="43" t="s">
        <v>32</v>
      </c>
      <c r="O38" s="12"/>
      <c r="P38" s="24" t="s">
        <v>141</v>
      </c>
    </row>
    <row r="39" spans="1:16" ht="72.900000000000006" x14ac:dyDescent="0.4">
      <c r="A39" s="16" t="s">
        <v>124</v>
      </c>
      <c r="B39" s="12" t="s">
        <v>124</v>
      </c>
      <c r="C39" s="26" t="s">
        <v>125</v>
      </c>
      <c r="D39" s="41" t="s">
        <v>42</v>
      </c>
      <c r="E39" s="41">
        <f t="shared" si="1"/>
        <v>363</v>
      </c>
      <c r="F39" s="41">
        <f t="shared" si="0"/>
        <v>387</v>
      </c>
      <c r="G39" s="41">
        <v>25</v>
      </c>
      <c r="H39" s="12" t="s">
        <v>142</v>
      </c>
      <c r="I39" s="41" t="s">
        <v>50</v>
      </c>
      <c r="J39" s="42" t="s">
        <v>32</v>
      </c>
      <c r="K39" s="42" t="s">
        <v>32</v>
      </c>
      <c r="L39" s="43" t="s">
        <v>32</v>
      </c>
      <c r="M39" s="43" t="s">
        <v>32</v>
      </c>
      <c r="N39" s="43" t="s">
        <v>32</v>
      </c>
      <c r="O39" s="12"/>
      <c r="P39" s="24" t="s">
        <v>143</v>
      </c>
    </row>
    <row r="40" spans="1:16" ht="72.900000000000006" x14ac:dyDescent="0.4">
      <c r="A40" s="16" t="s">
        <v>127</v>
      </c>
      <c r="B40" s="12" t="s">
        <v>127</v>
      </c>
      <c r="C40" s="12" t="s">
        <v>128</v>
      </c>
      <c r="D40" s="41" t="s">
        <v>67</v>
      </c>
      <c r="E40" s="12">
        <f t="shared" si="1"/>
        <v>388</v>
      </c>
      <c r="F40" s="12">
        <f t="shared" si="0"/>
        <v>395</v>
      </c>
      <c r="G40" s="41">
        <v>8</v>
      </c>
      <c r="H40" s="12" t="s">
        <v>64</v>
      </c>
      <c r="I40" s="41" t="s">
        <v>50</v>
      </c>
      <c r="J40" s="42" t="s">
        <v>32</v>
      </c>
      <c r="K40" s="42" t="s">
        <v>32</v>
      </c>
      <c r="L40" s="43" t="s">
        <v>32</v>
      </c>
      <c r="M40" s="43" t="s">
        <v>32</v>
      </c>
      <c r="N40" s="43" t="s">
        <v>32</v>
      </c>
      <c r="O40" s="12"/>
      <c r="P40" s="24" t="s">
        <v>144</v>
      </c>
    </row>
    <row r="41" spans="1:16" ht="72.900000000000006" x14ac:dyDescent="0.4">
      <c r="A41" s="16" t="s">
        <v>130</v>
      </c>
      <c r="B41" s="12" t="s">
        <v>130</v>
      </c>
      <c r="C41" s="12" t="s">
        <v>131</v>
      </c>
      <c r="D41" s="41" t="s">
        <v>67</v>
      </c>
      <c r="E41" s="12">
        <f>F40+1</f>
        <v>396</v>
      </c>
      <c r="F41" s="12">
        <f>F40+G41</f>
        <v>403</v>
      </c>
      <c r="G41" s="41">
        <v>8</v>
      </c>
      <c r="H41" s="12" t="s">
        <v>64</v>
      </c>
      <c r="I41" s="41" t="s">
        <v>50</v>
      </c>
      <c r="J41" s="42" t="s">
        <v>32</v>
      </c>
      <c r="K41" s="42" t="s">
        <v>32</v>
      </c>
      <c r="L41" s="43" t="s">
        <v>32</v>
      </c>
      <c r="M41" s="43" t="s">
        <v>32</v>
      </c>
      <c r="N41" s="43" t="s">
        <v>32</v>
      </c>
      <c r="O41" s="12"/>
      <c r="P41" s="24" t="s">
        <v>145</v>
      </c>
    </row>
    <row r="42" spans="1:16" ht="72.900000000000006" x14ac:dyDescent="0.4">
      <c r="A42" s="16" t="s">
        <v>132</v>
      </c>
      <c r="B42" s="12" t="s">
        <v>132</v>
      </c>
      <c r="C42" s="26" t="s">
        <v>133</v>
      </c>
      <c r="D42" s="41" t="s">
        <v>42</v>
      </c>
      <c r="E42" s="41">
        <f>F41+1</f>
        <v>404</v>
      </c>
      <c r="F42" s="41">
        <f>F41+G42</f>
        <v>404</v>
      </c>
      <c r="G42" s="41">
        <v>1</v>
      </c>
      <c r="H42" s="12" t="s">
        <v>134</v>
      </c>
      <c r="I42" s="41" t="s">
        <v>50</v>
      </c>
      <c r="J42" s="42" t="s">
        <v>32</v>
      </c>
      <c r="K42" s="42" t="s">
        <v>32</v>
      </c>
      <c r="L42" s="43" t="s">
        <v>32</v>
      </c>
      <c r="M42" s="43" t="s">
        <v>32</v>
      </c>
      <c r="N42" s="43" t="s">
        <v>32</v>
      </c>
      <c r="O42" s="12"/>
      <c r="P42" s="24" t="s">
        <v>146</v>
      </c>
    </row>
    <row r="43" spans="1:16" ht="72.900000000000006" x14ac:dyDescent="0.4">
      <c r="A43" s="16" t="s">
        <v>136</v>
      </c>
      <c r="B43" s="12" t="s">
        <v>136</v>
      </c>
      <c r="C43" s="26" t="s">
        <v>137</v>
      </c>
      <c r="D43" s="41" t="s">
        <v>42</v>
      </c>
      <c r="E43" s="41">
        <f t="shared" si="1"/>
        <v>405</v>
      </c>
      <c r="F43" s="41">
        <f t="shared" si="0"/>
        <v>406</v>
      </c>
      <c r="G43" s="41">
        <v>2</v>
      </c>
      <c r="H43" s="12"/>
      <c r="I43" s="41" t="s">
        <v>50</v>
      </c>
      <c r="J43" s="42" t="s">
        <v>32</v>
      </c>
      <c r="K43" s="42" t="s">
        <v>32</v>
      </c>
      <c r="L43" s="43" t="s">
        <v>32</v>
      </c>
      <c r="M43" s="43" t="s">
        <v>32</v>
      </c>
      <c r="N43" s="43" t="s">
        <v>32</v>
      </c>
      <c r="O43" s="12"/>
      <c r="P43" s="24" t="s">
        <v>147</v>
      </c>
    </row>
    <row r="44" spans="1:16" ht="72.900000000000006" x14ac:dyDescent="0.4">
      <c r="A44" s="16" t="s">
        <v>138</v>
      </c>
      <c r="B44" s="12" t="s">
        <v>138</v>
      </c>
      <c r="C44" s="26" t="s">
        <v>139</v>
      </c>
      <c r="D44" s="41" t="s">
        <v>42</v>
      </c>
      <c r="E44" s="41">
        <f t="shared" si="1"/>
        <v>407</v>
      </c>
      <c r="F44" s="41">
        <f t="shared" si="0"/>
        <v>408</v>
      </c>
      <c r="G44" s="41">
        <v>2</v>
      </c>
      <c r="H44" s="12"/>
      <c r="I44" s="41" t="s">
        <v>50</v>
      </c>
      <c r="J44" s="42" t="s">
        <v>32</v>
      </c>
      <c r="K44" s="42" t="s">
        <v>32</v>
      </c>
      <c r="L44" s="43" t="s">
        <v>32</v>
      </c>
      <c r="M44" s="43" t="s">
        <v>32</v>
      </c>
      <c r="N44" s="43" t="s">
        <v>32</v>
      </c>
      <c r="O44" s="12"/>
      <c r="P44" s="24" t="s">
        <v>148</v>
      </c>
    </row>
    <row r="45" spans="1:16" ht="72.900000000000006" x14ac:dyDescent="0.4">
      <c r="A45" s="16" t="s">
        <v>121</v>
      </c>
      <c r="B45" s="12" t="s">
        <v>121</v>
      </c>
      <c r="C45" s="26" t="s">
        <v>122</v>
      </c>
      <c r="D45" s="41" t="s">
        <v>42</v>
      </c>
      <c r="E45" s="41">
        <f t="shared" si="1"/>
        <v>409</v>
      </c>
      <c r="F45" s="41">
        <f t="shared" si="0"/>
        <v>418</v>
      </c>
      <c r="G45" s="41">
        <v>10</v>
      </c>
      <c r="H45" s="12"/>
      <c r="I45" s="41" t="s">
        <v>50</v>
      </c>
      <c r="J45" s="42" t="s">
        <v>32</v>
      </c>
      <c r="K45" s="42" t="s">
        <v>32</v>
      </c>
      <c r="L45" s="43" t="s">
        <v>32</v>
      </c>
      <c r="M45" s="43" t="s">
        <v>32</v>
      </c>
      <c r="N45" s="43" t="s">
        <v>32</v>
      </c>
      <c r="O45" s="12"/>
      <c r="P45" s="45" t="s">
        <v>149</v>
      </c>
    </row>
    <row r="46" spans="1:16" ht="72.900000000000006" x14ac:dyDescent="0.4">
      <c r="A46" s="16" t="s">
        <v>124</v>
      </c>
      <c r="B46" s="12" t="s">
        <v>124</v>
      </c>
      <c r="C46" s="26" t="s">
        <v>125</v>
      </c>
      <c r="D46" s="41" t="s">
        <v>42</v>
      </c>
      <c r="E46" s="41">
        <f t="shared" si="1"/>
        <v>419</v>
      </c>
      <c r="F46" s="41">
        <f t="shared" si="0"/>
        <v>443</v>
      </c>
      <c r="G46" s="41">
        <v>25</v>
      </c>
      <c r="H46" s="12" t="s">
        <v>142</v>
      </c>
      <c r="I46" s="41" t="s">
        <v>50</v>
      </c>
      <c r="J46" s="42" t="s">
        <v>32</v>
      </c>
      <c r="K46" s="42" t="s">
        <v>32</v>
      </c>
      <c r="L46" s="43" t="s">
        <v>32</v>
      </c>
      <c r="M46" s="43" t="s">
        <v>32</v>
      </c>
      <c r="N46" s="43" t="s">
        <v>32</v>
      </c>
      <c r="O46" s="12"/>
      <c r="P46" s="24" t="s">
        <v>150</v>
      </c>
    </row>
    <row r="47" spans="1:16" ht="72.900000000000006" x14ac:dyDescent="0.4">
      <c r="A47" s="16" t="s">
        <v>127</v>
      </c>
      <c r="B47" s="12" t="s">
        <v>127</v>
      </c>
      <c r="C47" s="12" t="s">
        <v>128</v>
      </c>
      <c r="D47" s="41" t="s">
        <v>67</v>
      </c>
      <c r="E47" s="41">
        <f t="shared" si="1"/>
        <v>444</v>
      </c>
      <c r="F47" s="41">
        <f>F46+G47</f>
        <v>451</v>
      </c>
      <c r="G47" s="41">
        <v>8</v>
      </c>
      <c r="H47" s="12" t="s">
        <v>64</v>
      </c>
      <c r="I47" s="41" t="s">
        <v>50</v>
      </c>
      <c r="J47" s="42" t="s">
        <v>32</v>
      </c>
      <c r="K47" s="42" t="s">
        <v>32</v>
      </c>
      <c r="L47" s="43" t="s">
        <v>32</v>
      </c>
      <c r="M47" s="43" t="s">
        <v>32</v>
      </c>
      <c r="N47" s="43" t="s">
        <v>32</v>
      </c>
      <c r="O47" s="12"/>
      <c r="P47" s="24" t="s">
        <v>151</v>
      </c>
    </row>
    <row r="48" spans="1:16" ht="72.900000000000006" x14ac:dyDescent="0.4">
      <c r="A48" s="16" t="s">
        <v>130</v>
      </c>
      <c r="B48" s="12" t="s">
        <v>130</v>
      </c>
      <c r="C48" s="12" t="s">
        <v>131</v>
      </c>
      <c r="D48" s="41" t="s">
        <v>67</v>
      </c>
      <c r="E48" s="41">
        <f>F47+1</f>
        <v>452</v>
      </c>
      <c r="F48" s="41">
        <f>F47+G48</f>
        <v>459</v>
      </c>
      <c r="G48" s="41">
        <v>8</v>
      </c>
      <c r="H48" s="12" t="s">
        <v>64</v>
      </c>
      <c r="I48" s="41" t="s">
        <v>50</v>
      </c>
      <c r="J48" s="42" t="s">
        <v>32</v>
      </c>
      <c r="K48" s="42" t="s">
        <v>32</v>
      </c>
      <c r="L48" s="43" t="s">
        <v>32</v>
      </c>
      <c r="M48" s="43" t="s">
        <v>32</v>
      </c>
      <c r="N48" s="43" t="s">
        <v>32</v>
      </c>
      <c r="O48" s="12"/>
      <c r="P48" s="24" t="s">
        <v>152</v>
      </c>
    </row>
    <row r="49" spans="1:16" ht="72.900000000000006" x14ac:dyDescent="0.4">
      <c r="A49" s="16" t="s">
        <v>132</v>
      </c>
      <c r="B49" s="12" t="s">
        <v>132</v>
      </c>
      <c r="C49" s="26" t="s">
        <v>133</v>
      </c>
      <c r="D49" s="41" t="s">
        <v>42</v>
      </c>
      <c r="E49" s="41">
        <f>F48+1</f>
        <v>460</v>
      </c>
      <c r="F49" s="41">
        <f>F48+G49</f>
        <v>460</v>
      </c>
      <c r="G49" s="41">
        <v>1</v>
      </c>
      <c r="H49" s="12" t="s">
        <v>134</v>
      </c>
      <c r="I49" s="41" t="s">
        <v>50</v>
      </c>
      <c r="J49" s="42" t="s">
        <v>32</v>
      </c>
      <c r="K49" s="42" t="s">
        <v>32</v>
      </c>
      <c r="L49" s="43" t="s">
        <v>32</v>
      </c>
      <c r="M49" s="43" t="s">
        <v>32</v>
      </c>
      <c r="N49" s="43" t="s">
        <v>32</v>
      </c>
      <c r="O49" s="12"/>
      <c r="P49" s="24" t="s">
        <v>153</v>
      </c>
    </row>
    <row r="50" spans="1:16" ht="72.900000000000006" x14ac:dyDescent="0.4">
      <c r="A50" s="16" t="s">
        <v>136</v>
      </c>
      <c r="B50" s="12" t="s">
        <v>136</v>
      </c>
      <c r="C50" s="26" t="s">
        <v>137</v>
      </c>
      <c r="D50" s="41" t="s">
        <v>42</v>
      </c>
      <c r="E50" s="41">
        <f t="shared" si="1"/>
        <v>461</v>
      </c>
      <c r="F50" s="41">
        <f t="shared" ref="F50:F111" si="2">F49+G50</f>
        <v>462</v>
      </c>
      <c r="G50" s="41">
        <v>2</v>
      </c>
      <c r="H50" s="12"/>
      <c r="I50" s="41" t="s">
        <v>50</v>
      </c>
      <c r="J50" s="42" t="s">
        <v>32</v>
      </c>
      <c r="K50" s="42" t="s">
        <v>32</v>
      </c>
      <c r="L50" s="43" t="s">
        <v>32</v>
      </c>
      <c r="M50" s="43" t="s">
        <v>32</v>
      </c>
      <c r="N50" s="43" t="s">
        <v>32</v>
      </c>
      <c r="O50" s="12"/>
      <c r="P50" s="24" t="s">
        <v>154</v>
      </c>
    </row>
    <row r="51" spans="1:16" ht="72.900000000000006" x14ac:dyDescent="0.4">
      <c r="A51" s="16" t="s">
        <v>138</v>
      </c>
      <c r="B51" s="12" t="s">
        <v>138</v>
      </c>
      <c r="C51" s="26" t="s">
        <v>139</v>
      </c>
      <c r="D51" s="41" t="s">
        <v>42</v>
      </c>
      <c r="E51" s="41">
        <f t="shared" si="1"/>
        <v>463</v>
      </c>
      <c r="F51" s="41">
        <f t="shared" si="2"/>
        <v>464</v>
      </c>
      <c r="G51" s="41">
        <v>2</v>
      </c>
      <c r="H51" s="12"/>
      <c r="I51" s="41" t="s">
        <v>50</v>
      </c>
      <c r="J51" s="42" t="s">
        <v>32</v>
      </c>
      <c r="K51" s="42" t="s">
        <v>32</v>
      </c>
      <c r="L51" s="43" t="s">
        <v>32</v>
      </c>
      <c r="M51" s="43" t="s">
        <v>32</v>
      </c>
      <c r="N51" s="43" t="s">
        <v>32</v>
      </c>
      <c r="O51" s="12"/>
      <c r="P51" s="24" t="s">
        <v>155</v>
      </c>
    </row>
    <row r="52" spans="1:16" ht="72.900000000000006" x14ac:dyDescent="0.4">
      <c r="A52" s="16" t="s">
        <v>121</v>
      </c>
      <c r="B52" s="12" t="s">
        <v>121</v>
      </c>
      <c r="C52" s="26" t="s">
        <v>122</v>
      </c>
      <c r="D52" s="41" t="s">
        <v>42</v>
      </c>
      <c r="E52" s="41">
        <f t="shared" si="1"/>
        <v>465</v>
      </c>
      <c r="F52" s="41">
        <f t="shared" si="2"/>
        <v>474</v>
      </c>
      <c r="G52" s="41">
        <v>10</v>
      </c>
      <c r="H52" s="12"/>
      <c r="I52" s="41" t="s">
        <v>50</v>
      </c>
      <c r="J52" s="42" t="s">
        <v>32</v>
      </c>
      <c r="K52" s="42" t="s">
        <v>32</v>
      </c>
      <c r="L52" s="43" t="s">
        <v>32</v>
      </c>
      <c r="M52" s="43" t="s">
        <v>32</v>
      </c>
      <c r="N52" s="43" t="s">
        <v>32</v>
      </c>
      <c r="O52" s="12"/>
      <c r="P52" s="45" t="s">
        <v>156</v>
      </c>
    </row>
    <row r="53" spans="1:16" ht="72.900000000000006" x14ac:dyDescent="0.4">
      <c r="A53" s="16" t="s">
        <v>124</v>
      </c>
      <c r="B53" s="12" t="s">
        <v>124</v>
      </c>
      <c r="C53" s="26" t="s">
        <v>125</v>
      </c>
      <c r="D53" s="41" t="s">
        <v>42</v>
      </c>
      <c r="E53" s="41">
        <f t="shared" si="1"/>
        <v>475</v>
      </c>
      <c r="F53" s="41">
        <f t="shared" si="2"/>
        <v>499</v>
      </c>
      <c r="G53" s="41">
        <v>25</v>
      </c>
      <c r="H53" s="12" t="s">
        <v>142</v>
      </c>
      <c r="I53" s="41" t="s">
        <v>50</v>
      </c>
      <c r="J53" s="42" t="s">
        <v>32</v>
      </c>
      <c r="K53" s="42" t="s">
        <v>32</v>
      </c>
      <c r="L53" s="43" t="s">
        <v>32</v>
      </c>
      <c r="M53" s="43" t="s">
        <v>32</v>
      </c>
      <c r="N53" s="43" t="s">
        <v>32</v>
      </c>
      <c r="O53" s="12"/>
      <c r="P53" s="24" t="s">
        <v>157</v>
      </c>
    </row>
    <row r="54" spans="1:16" ht="72.900000000000006" x14ac:dyDescent="0.4">
      <c r="A54" s="16" t="s">
        <v>127</v>
      </c>
      <c r="B54" s="12" t="s">
        <v>127</v>
      </c>
      <c r="C54" s="12" t="s">
        <v>128</v>
      </c>
      <c r="D54" s="41" t="s">
        <v>67</v>
      </c>
      <c r="E54" s="41">
        <f t="shared" si="1"/>
        <v>500</v>
      </c>
      <c r="F54" s="41">
        <f t="shared" si="2"/>
        <v>507</v>
      </c>
      <c r="G54" s="41">
        <v>8</v>
      </c>
      <c r="H54" s="12" t="s">
        <v>64</v>
      </c>
      <c r="I54" s="41" t="s">
        <v>50</v>
      </c>
      <c r="J54" s="42" t="s">
        <v>32</v>
      </c>
      <c r="K54" s="42" t="s">
        <v>32</v>
      </c>
      <c r="L54" s="43" t="s">
        <v>32</v>
      </c>
      <c r="M54" s="43" t="s">
        <v>32</v>
      </c>
      <c r="N54" s="43" t="s">
        <v>32</v>
      </c>
      <c r="O54" s="12"/>
      <c r="P54" s="24" t="s">
        <v>158</v>
      </c>
    </row>
    <row r="55" spans="1:16" ht="72.900000000000006" x14ac:dyDescent="0.4">
      <c r="A55" s="16" t="s">
        <v>130</v>
      </c>
      <c r="B55" s="12" t="s">
        <v>130</v>
      </c>
      <c r="C55" s="12" t="s">
        <v>131</v>
      </c>
      <c r="D55" s="41" t="s">
        <v>67</v>
      </c>
      <c r="E55" s="41">
        <f>F54+1</f>
        <v>508</v>
      </c>
      <c r="F55" s="41">
        <f>F54+G55</f>
        <v>515</v>
      </c>
      <c r="G55" s="41">
        <v>8</v>
      </c>
      <c r="H55" s="12" t="s">
        <v>64</v>
      </c>
      <c r="I55" s="41" t="s">
        <v>50</v>
      </c>
      <c r="J55" s="42" t="s">
        <v>32</v>
      </c>
      <c r="K55" s="42" t="s">
        <v>32</v>
      </c>
      <c r="L55" s="43" t="s">
        <v>32</v>
      </c>
      <c r="M55" s="43" t="s">
        <v>32</v>
      </c>
      <c r="N55" s="43" t="s">
        <v>32</v>
      </c>
      <c r="O55" s="12"/>
      <c r="P55" s="24" t="s">
        <v>159</v>
      </c>
    </row>
    <row r="56" spans="1:16" ht="72.900000000000006" x14ac:dyDescent="0.4">
      <c r="A56" s="16" t="s">
        <v>132</v>
      </c>
      <c r="B56" s="12" t="s">
        <v>132</v>
      </c>
      <c r="C56" s="26" t="s">
        <v>133</v>
      </c>
      <c r="D56" s="41" t="s">
        <v>42</v>
      </c>
      <c r="E56" s="41">
        <f>F55+1</f>
        <v>516</v>
      </c>
      <c r="F56" s="41">
        <f>F55+G56</f>
        <v>516</v>
      </c>
      <c r="G56" s="41">
        <v>1</v>
      </c>
      <c r="H56" s="12" t="s">
        <v>134</v>
      </c>
      <c r="I56" s="41" t="s">
        <v>50</v>
      </c>
      <c r="J56" s="42" t="s">
        <v>32</v>
      </c>
      <c r="K56" s="42" t="s">
        <v>32</v>
      </c>
      <c r="L56" s="43" t="s">
        <v>32</v>
      </c>
      <c r="M56" s="43" t="s">
        <v>32</v>
      </c>
      <c r="N56" s="43" t="s">
        <v>32</v>
      </c>
      <c r="O56" s="12"/>
      <c r="P56" s="24" t="s">
        <v>160</v>
      </c>
    </row>
    <row r="57" spans="1:16" ht="72.900000000000006" x14ac:dyDescent="0.4">
      <c r="A57" s="16" t="s">
        <v>136</v>
      </c>
      <c r="B57" s="12" t="s">
        <v>136</v>
      </c>
      <c r="C57" s="26" t="s">
        <v>137</v>
      </c>
      <c r="D57" s="41" t="s">
        <v>42</v>
      </c>
      <c r="E57" s="41">
        <f t="shared" si="1"/>
        <v>517</v>
      </c>
      <c r="F57" s="41">
        <f t="shared" si="2"/>
        <v>518</v>
      </c>
      <c r="G57" s="41">
        <v>2</v>
      </c>
      <c r="H57" s="12"/>
      <c r="I57" s="41" t="s">
        <v>50</v>
      </c>
      <c r="J57" s="42" t="s">
        <v>32</v>
      </c>
      <c r="K57" s="42" t="s">
        <v>32</v>
      </c>
      <c r="L57" s="43" t="s">
        <v>32</v>
      </c>
      <c r="M57" s="43" t="s">
        <v>32</v>
      </c>
      <c r="N57" s="43" t="s">
        <v>32</v>
      </c>
      <c r="O57" s="12"/>
      <c r="P57" s="24" t="s">
        <v>161</v>
      </c>
    </row>
    <row r="58" spans="1:16" ht="72.900000000000006" x14ac:dyDescent="0.4">
      <c r="A58" s="16" t="s">
        <v>138</v>
      </c>
      <c r="B58" s="12" t="s">
        <v>138</v>
      </c>
      <c r="C58" s="26" t="s">
        <v>139</v>
      </c>
      <c r="D58" s="41" t="s">
        <v>42</v>
      </c>
      <c r="E58" s="41">
        <f t="shared" si="1"/>
        <v>519</v>
      </c>
      <c r="F58" s="41">
        <f t="shared" si="2"/>
        <v>520</v>
      </c>
      <c r="G58" s="41">
        <v>2</v>
      </c>
      <c r="H58" s="12"/>
      <c r="I58" s="41" t="s">
        <v>50</v>
      </c>
      <c r="J58" s="42" t="s">
        <v>32</v>
      </c>
      <c r="K58" s="42" t="s">
        <v>32</v>
      </c>
      <c r="L58" s="43" t="s">
        <v>32</v>
      </c>
      <c r="M58" s="43" t="s">
        <v>32</v>
      </c>
      <c r="N58" s="43" t="s">
        <v>32</v>
      </c>
      <c r="O58" s="12"/>
      <c r="P58" s="24" t="s">
        <v>162</v>
      </c>
    </row>
    <row r="59" spans="1:16" ht="72.900000000000006" x14ac:dyDescent="0.4">
      <c r="A59" s="16" t="s">
        <v>121</v>
      </c>
      <c r="B59" s="12" t="s">
        <v>121</v>
      </c>
      <c r="C59" s="26" t="s">
        <v>122</v>
      </c>
      <c r="D59" s="41" t="s">
        <v>42</v>
      </c>
      <c r="E59" s="41">
        <f t="shared" si="1"/>
        <v>521</v>
      </c>
      <c r="F59" s="41">
        <f t="shared" si="2"/>
        <v>530</v>
      </c>
      <c r="G59" s="41">
        <v>10</v>
      </c>
      <c r="H59" s="12"/>
      <c r="I59" s="41" t="s">
        <v>50</v>
      </c>
      <c r="J59" s="42" t="s">
        <v>32</v>
      </c>
      <c r="K59" s="42" t="s">
        <v>32</v>
      </c>
      <c r="L59" s="43" t="s">
        <v>32</v>
      </c>
      <c r="M59" s="43" t="s">
        <v>32</v>
      </c>
      <c r="N59" s="43" t="s">
        <v>32</v>
      </c>
      <c r="O59" s="12"/>
      <c r="P59" s="45" t="s">
        <v>163</v>
      </c>
    </row>
    <row r="60" spans="1:16" ht="72.900000000000006" x14ac:dyDescent="0.4">
      <c r="A60" s="16" t="s">
        <v>124</v>
      </c>
      <c r="B60" s="12" t="s">
        <v>124</v>
      </c>
      <c r="C60" s="26" t="s">
        <v>125</v>
      </c>
      <c r="D60" s="41" t="s">
        <v>42</v>
      </c>
      <c r="E60" s="41">
        <f t="shared" si="1"/>
        <v>531</v>
      </c>
      <c r="F60" s="41">
        <f t="shared" si="2"/>
        <v>555</v>
      </c>
      <c r="G60" s="41">
        <v>25</v>
      </c>
      <c r="H60" s="12" t="s">
        <v>142</v>
      </c>
      <c r="I60" s="41" t="s">
        <v>50</v>
      </c>
      <c r="J60" s="42" t="s">
        <v>32</v>
      </c>
      <c r="K60" s="42" t="s">
        <v>32</v>
      </c>
      <c r="L60" s="43" t="s">
        <v>32</v>
      </c>
      <c r="M60" s="43" t="s">
        <v>32</v>
      </c>
      <c r="N60" s="43" t="s">
        <v>32</v>
      </c>
      <c r="O60" s="12"/>
      <c r="P60" s="24" t="s">
        <v>164</v>
      </c>
    </row>
    <row r="61" spans="1:16" ht="72.900000000000006" x14ac:dyDescent="0.4">
      <c r="A61" s="16" t="s">
        <v>127</v>
      </c>
      <c r="B61" s="12" t="s">
        <v>127</v>
      </c>
      <c r="C61" s="12" t="s">
        <v>128</v>
      </c>
      <c r="D61" s="41" t="s">
        <v>67</v>
      </c>
      <c r="E61" s="41">
        <f t="shared" si="1"/>
        <v>556</v>
      </c>
      <c r="F61" s="41">
        <f t="shared" si="2"/>
        <v>563</v>
      </c>
      <c r="G61" s="41">
        <v>8</v>
      </c>
      <c r="H61" s="12" t="s">
        <v>64</v>
      </c>
      <c r="I61" s="41" t="s">
        <v>50</v>
      </c>
      <c r="J61" s="42" t="s">
        <v>32</v>
      </c>
      <c r="K61" s="42" t="s">
        <v>32</v>
      </c>
      <c r="L61" s="43" t="s">
        <v>32</v>
      </c>
      <c r="M61" s="43" t="s">
        <v>32</v>
      </c>
      <c r="N61" s="43" t="s">
        <v>32</v>
      </c>
      <c r="O61" s="12"/>
      <c r="P61" s="24" t="s">
        <v>165</v>
      </c>
    </row>
    <row r="62" spans="1:16" ht="72.900000000000006" x14ac:dyDescent="0.4">
      <c r="A62" s="16" t="s">
        <v>130</v>
      </c>
      <c r="B62" s="12" t="s">
        <v>130</v>
      </c>
      <c r="C62" s="12" t="s">
        <v>131</v>
      </c>
      <c r="D62" s="41" t="s">
        <v>67</v>
      </c>
      <c r="E62" s="41">
        <f>F61+1</f>
        <v>564</v>
      </c>
      <c r="F62" s="41">
        <f>F61+G62</f>
        <v>571</v>
      </c>
      <c r="G62" s="41">
        <v>8</v>
      </c>
      <c r="H62" s="12" t="s">
        <v>64</v>
      </c>
      <c r="I62" s="41" t="s">
        <v>50</v>
      </c>
      <c r="J62" s="42" t="s">
        <v>32</v>
      </c>
      <c r="K62" s="42" t="s">
        <v>32</v>
      </c>
      <c r="L62" s="43" t="s">
        <v>32</v>
      </c>
      <c r="M62" s="43" t="s">
        <v>32</v>
      </c>
      <c r="N62" s="43" t="s">
        <v>32</v>
      </c>
      <c r="O62" s="12"/>
      <c r="P62" s="24" t="s">
        <v>166</v>
      </c>
    </row>
    <row r="63" spans="1:16" ht="72.900000000000006" x14ac:dyDescent="0.4">
      <c r="A63" s="16" t="s">
        <v>132</v>
      </c>
      <c r="B63" s="12" t="s">
        <v>132</v>
      </c>
      <c r="C63" s="26" t="s">
        <v>133</v>
      </c>
      <c r="D63" s="41" t="s">
        <v>42</v>
      </c>
      <c r="E63" s="41">
        <f>F62+1</f>
        <v>572</v>
      </c>
      <c r="F63" s="41">
        <f>F62+G63</f>
        <v>572</v>
      </c>
      <c r="G63" s="41">
        <v>1</v>
      </c>
      <c r="H63" s="12" t="s">
        <v>134</v>
      </c>
      <c r="I63" s="41" t="s">
        <v>50</v>
      </c>
      <c r="J63" s="42" t="s">
        <v>32</v>
      </c>
      <c r="K63" s="42" t="s">
        <v>32</v>
      </c>
      <c r="L63" s="43" t="s">
        <v>32</v>
      </c>
      <c r="M63" s="43" t="s">
        <v>32</v>
      </c>
      <c r="N63" s="43" t="s">
        <v>32</v>
      </c>
      <c r="O63" s="12"/>
      <c r="P63" s="24" t="s">
        <v>167</v>
      </c>
    </row>
    <row r="64" spans="1:16" ht="72.900000000000006" x14ac:dyDescent="0.4">
      <c r="A64" s="16" t="s">
        <v>136</v>
      </c>
      <c r="B64" s="12" t="s">
        <v>136</v>
      </c>
      <c r="C64" s="26" t="s">
        <v>137</v>
      </c>
      <c r="D64" s="41" t="s">
        <v>42</v>
      </c>
      <c r="E64" s="41">
        <f t="shared" si="1"/>
        <v>573</v>
      </c>
      <c r="F64" s="41">
        <f t="shared" si="2"/>
        <v>574</v>
      </c>
      <c r="G64" s="41">
        <v>2</v>
      </c>
      <c r="H64" s="12"/>
      <c r="I64" s="41" t="s">
        <v>50</v>
      </c>
      <c r="J64" s="42" t="s">
        <v>32</v>
      </c>
      <c r="K64" s="42" t="s">
        <v>32</v>
      </c>
      <c r="L64" s="43" t="s">
        <v>32</v>
      </c>
      <c r="M64" s="43" t="s">
        <v>32</v>
      </c>
      <c r="N64" s="43" t="s">
        <v>32</v>
      </c>
      <c r="O64" s="12"/>
      <c r="P64" s="24" t="s">
        <v>168</v>
      </c>
    </row>
    <row r="65" spans="1:16" ht="72.900000000000006" x14ac:dyDescent="0.4">
      <c r="A65" s="16" t="s">
        <v>138</v>
      </c>
      <c r="B65" s="12" t="s">
        <v>138</v>
      </c>
      <c r="C65" s="26" t="s">
        <v>139</v>
      </c>
      <c r="D65" s="41" t="s">
        <v>42</v>
      </c>
      <c r="E65" s="41">
        <f t="shared" si="1"/>
        <v>575</v>
      </c>
      <c r="F65" s="41">
        <f t="shared" si="2"/>
        <v>576</v>
      </c>
      <c r="G65" s="41">
        <v>2</v>
      </c>
      <c r="H65" s="12"/>
      <c r="I65" s="41" t="s">
        <v>50</v>
      </c>
      <c r="J65" s="42" t="s">
        <v>32</v>
      </c>
      <c r="K65" s="42" t="s">
        <v>32</v>
      </c>
      <c r="L65" s="43" t="s">
        <v>32</v>
      </c>
      <c r="M65" s="43" t="s">
        <v>32</v>
      </c>
      <c r="N65" s="43" t="s">
        <v>32</v>
      </c>
      <c r="O65" s="12"/>
      <c r="P65" s="24" t="s">
        <v>169</v>
      </c>
    </row>
    <row r="66" spans="1:16" ht="58.3" x14ac:dyDescent="0.4">
      <c r="A66" s="28" t="s">
        <v>170</v>
      </c>
      <c r="B66" s="12" t="s">
        <v>170</v>
      </c>
      <c r="C66" s="26" t="s">
        <v>171</v>
      </c>
      <c r="D66" s="41" t="s">
        <v>42</v>
      </c>
      <c r="E66" s="41">
        <f t="shared" si="1"/>
        <v>577</v>
      </c>
      <c r="F66" s="41">
        <f t="shared" si="2"/>
        <v>577</v>
      </c>
      <c r="G66" s="41">
        <v>1</v>
      </c>
      <c r="H66" s="12" t="s">
        <v>172</v>
      </c>
      <c r="I66" s="41" t="s">
        <v>50</v>
      </c>
      <c r="J66" s="42" t="s">
        <v>32</v>
      </c>
      <c r="K66" s="42" t="s">
        <v>32</v>
      </c>
      <c r="L66" s="43" t="s">
        <v>32</v>
      </c>
      <c r="M66" s="43" t="s">
        <v>32</v>
      </c>
      <c r="N66" s="43" t="s">
        <v>32</v>
      </c>
      <c r="O66" s="3" t="s">
        <v>173</v>
      </c>
      <c r="P66" s="83" t="s">
        <v>411</v>
      </c>
    </row>
    <row r="67" spans="1:16" ht="58.3" x14ac:dyDescent="0.4">
      <c r="A67" s="28" t="s">
        <v>174</v>
      </c>
      <c r="B67" s="12" t="s">
        <v>174</v>
      </c>
      <c r="C67" s="26" t="s">
        <v>175</v>
      </c>
      <c r="D67" s="41" t="s">
        <v>42</v>
      </c>
      <c r="E67" s="41">
        <f t="shared" si="1"/>
        <v>578</v>
      </c>
      <c r="F67" s="41">
        <f t="shared" si="2"/>
        <v>587</v>
      </c>
      <c r="G67" s="41">
        <v>10</v>
      </c>
      <c r="H67" s="12" t="s">
        <v>176</v>
      </c>
      <c r="I67" s="41" t="s">
        <v>50</v>
      </c>
      <c r="J67" s="42" t="s">
        <v>32</v>
      </c>
      <c r="K67" s="42" t="s">
        <v>32</v>
      </c>
      <c r="L67" s="43" t="s">
        <v>32</v>
      </c>
      <c r="M67" s="43" t="s">
        <v>32</v>
      </c>
      <c r="N67" s="43" t="s">
        <v>32</v>
      </c>
      <c r="O67" s="3" t="s">
        <v>173</v>
      </c>
      <c r="P67" s="83" t="s">
        <v>411</v>
      </c>
    </row>
    <row r="68" spans="1:16" ht="58.3" x14ac:dyDescent="0.4">
      <c r="A68" s="28" t="s">
        <v>177</v>
      </c>
      <c r="B68" s="12" t="s">
        <v>177</v>
      </c>
      <c r="C68" s="26" t="s">
        <v>178</v>
      </c>
      <c r="D68" s="41" t="s">
        <v>42</v>
      </c>
      <c r="E68" s="41">
        <f t="shared" si="1"/>
        <v>588</v>
      </c>
      <c r="F68" s="41">
        <f t="shared" si="2"/>
        <v>589</v>
      </c>
      <c r="G68" s="41">
        <v>2</v>
      </c>
      <c r="H68" s="12" t="s">
        <v>179</v>
      </c>
      <c r="I68" s="41" t="s">
        <v>50</v>
      </c>
      <c r="J68" s="42" t="s">
        <v>32</v>
      </c>
      <c r="K68" s="42" t="s">
        <v>32</v>
      </c>
      <c r="L68" s="43" t="s">
        <v>32</v>
      </c>
      <c r="M68" s="43" t="s">
        <v>32</v>
      </c>
      <c r="N68" s="43" t="s">
        <v>32</v>
      </c>
      <c r="O68" s="3" t="s">
        <v>173</v>
      </c>
      <c r="P68" s="83" t="s">
        <v>411</v>
      </c>
    </row>
    <row r="69" spans="1:16" ht="102" x14ac:dyDescent="0.4">
      <c r="A69" s="28" t="s">
        <v>180</v>
      </c>
      <c r="B69" s="12" t="s">
        <v>180</v>
      </c>
      <c r="C69" s="26" t="s">
        <v>181</v>
      </c>
      <c r="D69" s="41" t="s">
        <v>42</v>
      </c>
      <c r="E69" s="41">
        <f t="shared" si="1"/>
        <v>590</v>
      </c>
      <c r="F69" s="41">
        <f t="shared" si="2"/>
        <v>592</v>
      </c>
      <c r="G69" s="41">
        <v>3</v>
      </c>
      <c r="H69" s="12" t="s">
        <v>182</v>
      </c>
      <c r="I69" s="41" t="s">
        <v>50</v>
      </c>
      <c r="J69" s="42" t="s">
        <v>32</v>
      </c>
      <c r="K69" s="42" t="s">
        <v>32</v>
      </c>
      <c r="L69" s="43" t="s">
        <v>32</v>
      </c>
      <c r="M69" s="43" t="s">
        <v>32</v>
      </c>
      <c r="N69" s="43" t="s">
        <v>32</v>
      </c>
      <c r="O69" s="3" t="s">
        <v>173</v>
      </c>
      <c r="P69" s="83" t="s">
        <v>411</v>
      </c>
    </row>
    <row r="70" spans="1:16" ht="58.3" x14ac:dyDescent="0.4">
      <c r="A70" s="28" t="s">
        <v>183</v>
      </c>
      <c r="B70" s="12" t="s">
        <v>183</v>
      </c>
      <c r="C70" s="26" t="s">
        <v>184</v>
      </c>
      <c r="D70" s="41" t="s">
        <v>42</v>
      </c>
      <c r="E70" s="41">
        <f t="shared" si="1"/>
        <v>593</v>
      </c>
      <c r="F70" s="41">
        <f t="shared" si="2"/>
        <v>593</v>
      </c>
      <c r="G70" s="41">
        <v>1</v>
      </c>
      <c r="H70" s="12" t="s">
        <v>185</v>
      </c>
      <c r="I70" s="41" t="s">
        <v>50</v>
      </c>
      <c r="J70" s="42" t="s">
        <v>32</v>
      </c>
      <c r="K70" s="42" t="s">
        <v>32</v>
      </c>
      <c r="L70" s="43" t="s">
        <v>32</v>
      </c>
      <c r="M70" s="43" t="s">
        <v>32</v>
      </c>
      <c r="N70" s="43" t="s">
        <v>32</v>
      </c>
      <c r="O70" s="3" t="s">
        <v>173</v>
      </c>
      <c r="P70" s="83" t="s">
        <v>411</v>
      </c>
    </row>
    <row r="71" spans="1:16" ht="58.3" x14ac:dyDescent="0.4">
      <c r="A71" s="28" t="s">
        <v>186</v>
      </c>
      <c r="B71" s="12" t="s">
        <v>186</v>
      </c>
      <c r="C71" s="26" t="s">
        <v>187</v>
      </c>
      <c r="D71" s="41" t="s">
        <v>42</v>
      </c>
      <c r="E71" s="41">
        <f t="shared" si="1"/>
        <v>594</v>
      </c>
      <c r="F71" s="41">
        <f t="shared" si="2"/>
        <v>594</v>
      </c>
      <c r="G71" s="41">
        <v>1</v>
      </c>
      <c r="H71" s="12" t="s">
        <v>188</v>
      </c>
      <c r="I71" s="41" t="s">
        <v>50</v>
      </c>
      <c r="J71" s="42" t="s">
        <v>32</v>
      </c>
      <c r="K71" s="42" t="s">
        <v>32</v>
      </c>
      <c r="L71" s="43" t="s">
        <v>32</v>
      </c>
      <c r="M71" s="43" t="s">
        <v>32</v>
      </c>
      <c r="N71" s="43" t="s">
        <v>32</v>
      </c>
      <c r="O71" s="3" t="s">
        <v>173</v>
      </c>
      <c r="P71" s="83" t="s">
        <v>411</v>
      </c>
    </row>
    <row r="72" spans="1:16" ht="58.3" x14ac:dyDescent="0.4">
      <c r="A72" s="28" t="s">
        <v>189</v>
      </c>
      <c r="B72" s="12" t="s">
        <v>189</v>
      </c>
      <c r="C72" s="26" t="s">
        <v>190</v>
      </c>
      <c r="D72" s="41" t="s">
        <v>42</v>
      </c>
      <c r="E72" s="41">
        <f t="shared" si="1"/>
        <v>595</v>
      </c>
      <c r="F72" s="41">
        <f t="shared" si="2"/>
        <v>595</v>
      </c>
      <c r="G72" s="41">
        <v>1</v>
      </c>
      <c r="H72" s="12" t="s">
        <v>188</v>
      </c>
      <c r="I72" s="41" t="s">
        <v>50</v>
      </c>
      <c r="J72" s="42" t="s">
        <v>32</v>
      </c>
      <c r="K72" s="42" t="s">
        <v>32</v>
      </c>
      <c r="L72" s="43" t="s">
        <v>32</v>
      </c>
      <c r="M72" s="43" t="s">
        <v>32</v>
      </c>
      <c r="N72" s="43" t="s">
        <v>32</v>
      </c>
      <c r="O72" s="3" t="s">
        <v>173</v>
      </c>
      <c r="P72" s="83" t="s">
        <v>411</v>
      </c>
    </row>
    <row r="73" spans="1:16" ht="72.900000000000006" x14ac:dyDescent="0.4">
      <c r="A73" s="28" t="s">
        <v>191</v>
      </c>
      <c r="B73" s="12" t="s">
        <v>191</v>
      </c>
      <c r="C73" s="26" t="s">
        <v>192</v>
      </c>
      <c r="D73" s="41" t="s">
        <v>42</v>
      </c>
      <c r="E73" s="41">
        <f t="shared" si="1"/>
        <v>596</v>
      </c>
      <c r="F73" s="41">
        <f t="shared" si="2"/>
        <v>596</v>
      </c>
      <c r="G73" s="41">
        <v>1</v>
      </c>
      <c r="H73" s="12" t="s">
        <v>188</v>
      </c>
      <c r="I73" s="41" t="s">
        <v>50</v>
      </c>
      <c r="J73" s="42" t="s">
        <v>32</v>
      </c>
      <c r="K73" s="42" t="s">
        <v>32</v>
      </c>
      <c r="L73" s="43" t="s">
        <v>32</v>
      </c>
      <c r="M73" s="43" t="s">
        <v>32</v>
      </c>
      <c r="N73" s="43" t="s">
        <v>32</v>
      </c>
      <c r="O73" s="3" t="s">
        <v>173</v>
      </c>
      <c r="P73" s="83" t="s">
        <v>411</v>
      </c>
    </row>
    <row r="74" spans="1:16" ht="72.900000000000006" x14ac:dyDescent="0.4">
      <c r="A74" s="28" t="s">
        <v>193</v>
      </c>
      <c r="B74" s="12" t="s">
        <v>193</v>
      </c>
      <c r="C74" s="26" t="s">
        <v>194</v>
      </c>
      <c r="D74" s="41" t="s">
        <v>42</v>
      </c>
      <c r="E74" s="41">
        <f t="shared" si="1"/>
        <v>597</v>
      </c>
      <c r="F74" s="41">
        <f t="shared" si="2"/>
        <v>597</v>
      </c>
      <c r="G74" s="41">
        <v>1</v>
      </c>
      <c r="H74" s="12" t="s">
        <v>188</v>
      </c>
      <c r="I74" s="41" t="s">
        <v>50</v>
      </c>
      <c r="J74" s="42" t="s">
        <v>32</v>
      </c>
      <c r="K74" s="42" t="s">
        <v>32</v>
      </c>
      <c r="L74" s="43" t="s">
        <v>32</v>
      </c>
      <c r="M74" s="43" t="s">
        <v>32</v>
      </c>
      <c r="N74" s="43" t="s">
        <v>32</v>
      </c>
      <c r="O74" s="3" t="s">
        <v>173</v>
      </c>
      <c r="P74" s="83" t="s">
        <v>411</v>
      </c>
    </row>
    <row r="75" spans="1:16" ht="72.900000000000006" x14ac:dyDescent="0.4">
      <c r="A75" s="28" t="s">
        <v>195</v>
      </c>
      <c r="B75" s="12" t="s">
        <v>195</v>
      </c>
      <c r="C75" s="26" t="s">
        <v>196</v>
      </c>
      <c r="D75" s="41" t="s">
        <v>42</v>
      </c>
      <c r="E75" s="41">
        <f t="shared" si="1"/>
        <v>598</v>
      </c>
      <c r="F75" s="41">
        <f t="shared" si="2"/>
        <v>598</v>
      </c>
      <c r="G75" s="41">
        <v>1</v>
      </c>
      <c r="H75" s="12" t="s">
        <v>188</v>
      </c>
      <c r="I75" s="41" t="s">
        <v>50</v>
      </c>
      <c r="J75" s="42" t="s">
        <v>32</v>
      </c>
      <c r="K75" s="42" t="s">
        <v>32</v>
      </c>
      <c r="L75" s="43" t="s">
        <v>32</v>
      </c>
      <c r="M75" s="43" t="s">
        <v>32</v>
      </c>
      <c r="N75" s="43" t="s">
        <v>32</v>
      </c>
      <c r="O75" s="3" t="s">
        <v>173</v>
      </c>
      <c r="P75" s="83" t="s">
        <v>411</v>
      </c>
    </row>
    <row r="76" spans="1:16" ht="58.3" x14ac:dyDescent="0.4">
      <c r="A76" s="28" t="s">
        <v>197</v>
      </c>
      <c r="B76" s="12" t="s">
        <v>197</v>
      </c>
      <c r="C76" s="26" t="s">
        <v>198</v>
      </c>
      <c r="D76" s="41" t="s">
        <v>42</v>
      </c>
      <c r="E76" s="41">
        <f t="shared" si="1"/>
        <v>599</v>
      </c>
      <c r="F76" s="41">
        <f t="shared" si="2"/>
        <v>599</v>
      </c>
      <c r="G76" s="41">
        <v>1</v>
      </c>
      <c r="H76" s="12" t="s">
        <v>188</v>
      </c>
      <c r="I76" s="41" t="s">
        <v>50</v>
      </c>
      <c r="J76" s="42" t="s">
        <v>32</v>
      </c>
      <c r="K76" s="42" t="s">
        <v>32</v>
      </c>
      <c r="L76" s="43" t="s">
        <v>32</v>
      </c>
      <c r="M76" s="43" t="s">
        <v>32</v>
      </c>
      <c r="N76" s="43" t="s">
        <v>32</v>
      </c>
      <c r="O76" s="3" t="s">
        <v>173</v>
      </c>
      <c r="P76" s="83" t="s">
        <v>411</v>
      </c>
    </row>
    <row r="77" spans="1:16" ht="72.900000000000006" x14ac:dyDescent="0.4">
      <c r="A77" s="28" t="s">
        <v>199</v>
      </c>
      <c r="B77" s="12" t="s">
        <v>199</v>
      </c>
      <c r="C77" s="26" t="s">
        <v>200</v>
      </c>
      <c r="D77" s="41" t="s">
        <v>42</v>
      </c>
      <c r="E77" s="41">
        <f t="shared" si="1"/>
        <v>600</v>
      </c>
      <c r="F77" s="41">
        <f t="shared" si="2"/>
        <v>600</v>
      </c>
      <c r="G77" s="41">
        <v>1</v>
      </c>
      <c r="H77" s="12" t="s">
        <v>188</v>
      </c>
      <c r="I77" s="41" t="s">
        <v>50</v>
      </c>
      <c r="J77" s="42" t="s">
        <v>32</v>
      </c>
      <c r="K77" s="42" t="s">
        <v>32</v>
      </c>
      <c r="L77" s="43" t="s">
        <v>32</v>
      </c>
      <c r="M77" s="43" t="s">
        <v>32</v>
      </c>
      <c r="N77" s="43" t="s">
        <v>32</v>
      </c>
      <c r="O77" s="3" t="s">
        <v>173</v>
      </c>
      <c r="P77" s="83" t="s">
        <v>411</v>
      </c>
    </row>
    <row r="78" spans="1:16" ht="58.3" x14ac:dyDescent="0.4">
      <c r="A78" s="28" t="s">
        <v>201</v>
      </c>
      <c r="B78" s="12" t="s">
        <v>201</v>
      </c>
      <c r="C78" s="26" t="s">
        <v>202</v>
      </c>
      <c r="D78" s="41" t="s">
        <v>42</v>
      </c>
      <c r="E78" s="41">
        <f t="shared" ref="E78:E141" si="3">F77+1</f>
        <v>601</v>
      </c>
      <c r="F78" s="41">
        <f t="shared" si="2"/>
        <v>601</v>
      </c>
      <c r="G78" s="41">
        <v>1</v>
      </c>
      <c r="H78" s="12" t="s">
        <v>188</v>
      </c>
      <c r="I78" s="41" t="s">
        <v>50</v>
      </c>
      <c r="J78" s="42" t="s">
        <v>32</v>
      </c>
      <c r="K78" s="42" t="s">
        <v>32</v>
      </c>
      <c r="L78" s="43" t="s">
        <v>32</v>
      </c>
      <c r="M78" s="43" t="s">
        <v>32</v>
      </c>
      <c r="N78" s="43" t="s">
        <v>32</v>
      </c>
      <c r="O78" s="3" t="s">
        <v>173</v>
      </c>
      <c r="P78" s="83" t="s">
        <v>411</v>
      </c>
    </row>
    <row r="79" spans="1:16" ht="58.3" x14ac:dyDescent="0.4">
      <c r="A79" s="28" t="s">
        <v>203</v>
      </c>
      <c r="B79" s="12" t="s">
        <v>203</v>
      </c>
      <c r="C79" s="26" t="s">
        <v>204</v>
      </c>
      <c r="D79" s="41" t="s">
        <v>42</v>
      </c>
      <c r="E79" s="41">
        <f t="shared" si="3"/>
        <v>602</v>
      </c>
      <c r="F79" s="41">
        <f t="shared" si="2"/>
        <v>602</v>
      </c>
      <c r="G79" s="41">
        <v>1</v>
      </c>
      <c r="H79" s="12" t="s">
        <v>205</v>
      </c>
      <c r="I79" s="41" t="s">
        <v>50</v>
      </c>
      <c r="J79" s="42" t="s">
        <v>32</v>
      </c>
      <c r="K79" s="42" t="s">
        <v>32</v>
      </c>
      <c r="L79" s="43" t="s">
        <v>32</v>
      </c>
      <c r="M79" s="43" t="s">
        <v>32</v>
      </c>
      <c r="N79" s="43" t="s">
        <v>32</v>
      </c>
      <c r="O79" s="3" t="s">
        <v>173</v>
      </c>
      <c r="P79" s="83" t="s">
        <v>411</v>
      </c>
    </row>
    <row r="80" spans="1:16" ht="58.3" x14ac:dyDescent="0.4">
      <c r="A80" s="28" t="s">
        <v>206</v>
      </c>
      <c r="B80" s="12" t="s">
        <v>206</v>
      </c>
      <c r="C80" s="26" t="s">
        <v>207</v>
      </c>
      <c r="D80" s="41" t="s">
        <v>67</v>
      </c>
      <c r="E80" s="41">
        <f t="shared" si="3"/>
        <v>603</v>
      </c>
      <c r="F80" s="41">
        <f t="shared" si="2"/>
        <v>610</v>
      </c>
      <c r="G80" s="41">
        <v>8</v>
      </c>
      <c r="H80" s="12" t="s">
        <v>64</v>
      </c>
      <c r="I80" s="41" t="s">
        <v>50</v>
      </c>
      <c r="J80" s="42" t="s">
        <v>32</v>
      </c>
      <c r="K80" s="42" t="s">
        <v>32</v>
      </c>
      <c r="L80" s="43" t="s">
        <v>32</v>
      </c>
      <c r="M80" s="43" t="s">
        <v>32</v>
      </c>
      <c r="N80" s="43" t="s">
        <v>32</v>
      </c>
      <c r="O80" s="3" t="s">
        <v>173</v>
      </c>
      <c r="P80" s="83" t="s">
        <v>411</v>
      </c>
    </row>
    <row r="81" spans="1:16" ht="58.3" x14ac:dyDescent="0.4">
      <c r="A81" s="28" t="s">
        <v>209</v>
      </c>
      <c r="B81" s="12" t="s">
        <v>209</v>
      </c>
      <c r="C81" s="26" t="s">
        <v>210</v>
      </c>
      <c r="D81" s="41" t="s">
        <v>67</v>
      </c>
      <c r="E81" s="41">
        <f>F80+1</f>
        <v>611</v>
      </c>
      <c r="F81" s="41">
        <f>F80+G81</f>
        <v>618</v>
      </c>
      <c r="G81" s="41">
        <v>8</v>
      </c>
      <c r="H81" s="12" t="s">
        <v>64</v>
      </c>
      <c r="I81" s="41" t="s">
        <v>50</v>
      </c>
      <c r="J81" s="42" t="s">
        <v>32</v>
      </c>
      <c r="K81" s="42" t="s">
        <v>32</v>
      </c>
      <c r="L81" s="43" t="s">
        <v>32</v>
      </c>
      <c r="M81" s="43" t="s">
        <v>32</v>
      </c>
      <c r="N81" s="43" t="s">
        <v>32</v>
      </c>
      <c r="O81" s="3" t="s">
        <v>173</v>
      </c>
      <c r="P81" s="83" t="s">
        <v>411</v>
      </c>
    </row>
    <row r="82" spans="1:16" ht="30" customHeight="1" x14ac:dyDescent="0.4">
      <c r="A82" s="27" t="s">
        <v>170</v>
      </c>
      <c r="B82" s="27" t="s">
        <v>170</v>
      </c>
      <c r="C82" s="27" t="s">
        <v>171</v>
      </c>
      <c r="D82" s="46" t="s">
        <v>42</v>
      </c>
      <c r="E82" s="46">
        <f>F81+1</f>
        <v>619</v>
      </c>
      <c r="F82" s="46">
        <f>F81+G82</f>
        <v>619</v>
      </c>
      <c r="G82" s="46">
        <v>1</v>
      </c>
      <c r="H82" s="27" t="s">
        <v>172</v>
      </c>
      <c r="I82" s="46"/>
      <c r="J82" s="47" t="s">
        <v>32</v>
      </c>
      <c r="K82" s="47" t="s">
        <v>32</v>
      </c>
      <c r="L82" s="46" t="s">
        <v>32</v>
      </c>
      <c r="M82" s="46" t="s">
        <v>32</v>
      </c>
      <c r="N82" s="46" t="s">
        <v>32</v>
      </c>
      <c r="O82" s="27" t="s">
        <v>211</v>
      </c>
      <c r="P82" s="27" t="s">
        <v>411</v>
      </c>
    </row>
    <row r="83" spans="1:16" ht="30" customHeight="1" x14ac:dyDescent="0.4">
      <c r="A83" s="27" t="s">
        <v>212</v>
      </c>
      <c r="B83" s="27" t="s">
        <v>212</v>
      </c>
      <c r="C83" s="27" t="s">
        <v>213</v>
      </c>
      <c r="D83" s="46" t="s">
        <v>42</v>
      </c>
      <c r="E83" s="46">
        <f t="shared" si="3"/>
        <v>620</v>
      </c>
      <c r="F83" s="46">
        <f t="shared" si="2"/>
        <v>629</v>
      </c>
      <c r="G83" s="46">
        <v>10</v>
      </c>
      <c r="H83" s="27" t="s">
        <v>214</v>
      </c>
      <c r="I83" s="46"/>
      <c r="J83" s="47" t="s">
        <v>32</v>
      </c>
      <c r="K83" s="47" t="s">
        <v>32</v>
      </c>
      <c r="L83" s="46" t="s">
        <v>32</v>
      </c>
      <c r="M83" s="46" t="s">
        <v>32</v>
      </c>
      <c r="N83" s="46" t="s">
        <v>32</v>
      </c>
      <c r="O83" s="27" t="s">
        <v>211</v>
      </c>
      <c r="P83" s="27" t="s">
        <v>411</v>
      </c>
    </row>
    <row r="84" spans="1:16" ht="30" customHeight="1" x14ac:dyDescent="0.4">
      <c r="A84" s="27" t="s">
        <v>215</v>
      </c>
      <c r="B84" s="27" t="s">
        <v>215</v>
      </c>
      <c r="C84" s="27" t="s">
        <v>216</v>
      </c>
      <c r="D84" s="46" t="s">
        <v>42</v>
      </c>
      <c r="E84" s="46">
        <f t="shared" si="3"/>
        <v>630</v>
      </c>
      <c r="F84" s="46">
        <f t="shared" si="2"/>
        <v>632</v>
      </c>
      <c r="G84" s="46">
        <v>3</v>
      </c>
      <c r="H84" s="27" t="s">
        <v>217</v>
      </c>
      <c r="I84" s="46"/>
      <c r="J84" s="47" t="s">
        <v>32</v>
      </c>
      <c r="K84" s="47" t="s">
        <v>32</v>
      </c>
      <c r="L84" s="46" t="s">
        <v>32</v>
      </c>
      <c r="M84" s="46" t="s">
        <v>32</v>
      </c>
      <c r="N84" s="46" t="s">
        <v>32</v>
      </c>
      <c r="O84" s="27" t="s">
        <v>211</v>
      </c>
      <c r="P84" s="27" t="s">
        <v>411</v>
      </c>
    </row>
    <row r="85" spans="1:16" ht="30" customHeight="1" x14ac:dyDescent="0.4">
      <c r="A85" s="27" t="s">
        <v>218</v>
      </c>
      <c r="B85" s="27" t="s">
        <v>218</v>
      </c>
      <c r="C85" s="27" t="s">
        <v>219</v>
      </c>
      <c r="D85" s="46" t="s">
        <v>42</v>
      </c>
      <c r="E85" s="46">
        <f t="shared" si="3"/>
        <v>633</v>
      </c>
      <c r="F85" s="46">
        <f t="shared" si="2"/>
        <v>635</v>
      </c>
      <c r="G85" s="46">
        <v>3</v>
      </c>
      <c r="H85" s="27" t="s">
        <v>220</v>
      </c>
      <c r="I85" s="46"/>
      <c r="J85" s="47" t="s">
        <v>32</v>
      </c>
      <c r="K85" s="47" t="s">
        <v>32</v>
      </c>
      <c r="L85" s="46" t="s">
        <v>32</v>
      </c>
      <c r="M85" s="46" t="s">
        <v>32</v>
      </c>
      <c r="N85" s="46" t="s">
        <v>32</v>
      </c>
      <c r="O85" s="27" t="s">
        <v>211</v>
      </c>
      <c r="P85" s="27" t="s">
        <v>411</v>
      </c>
    </row>
    <row r="86" spans="1:16" ht="30" customHeight="1" x14ac:dyDescent="0.4">
      <c r="A86" s="27" t="s">
        <v>221</v>
      </c>
      <c r="B86" s="27" t="s">
        <v>221</v>
      </c>
      <c r="C86" s="27" t="s">
        <v>219</v>
      </c>
      <c r="D86" s="46" t="s">
        <v>42</v>
      </c>
      <c r="E86" s="46">
        <f t="shared" si="3"/>
        <v>636</v>
      </c>
      <c r="F86" s="46">
        <f t="shared" si="2"/>
        <v>638</v>
      </c>
      <c r="G86" s="46">
        <v>3</v>
      </c>
      <c r="H86" s="27" t="s">
        <v>220</v>
      </c>
      <c r="I86" s="46"/>
      <c r="J86" s="47" t="s">
        <v>32</v>
      </c>
      <c r="K86" s="47" t="s">
        <v>32</v>
      </c>
      <c r="L86" s="46" t="s">
        <v>32</v>
      </c>
      <c r="M86" s="46" t="s">
        <v>32</v>
      </c>
      <c r="N86" s="46" t="s">
        <v>32</v>
      </c>
      <c r="O86" s="27" t="s">
        <v>211</v>
      </c>
      <c r="P86" s="27" t="s">
        <v>411</v>
      </c>
    </row>
    <row r="87" spans="1:16" ht="30" customHeight="1" x14ac:dyDescent="0.4">
      <c r="A87" s="27" t="s">
        <v>222</v>
      </c>
      <c r="B87" s="27" t="s">
        <v>222</v>
      </c>
      <c r="C87" s="27" t="s">
        <v>219</v>
      </c>
      <c r="D87" s="46" t="s">
        <v>42</v>
      </c>
      <c r="E87" s="46">
        <f t="shared" si="3"/>
        <v>639</v>
      </c>
      <c r="F87" s="46">
        <f t="shared" si="2"/>
        <v>641</v>
      </c>
      <c r="G87" s="46">
        <v>3</v>
      </c>
      <c r="H87" s="27" t="s">
        <v>220</v>
      </c>
      <c r="I87" s="46"/>
      <c r="J87" s="47" t="s">
        <v>32</v>
      </c>
      <c r="K87" s="47" t="s">
        <v>32</v>
      </c>
      <c r="L87" s="46" t="s">
        <v>32</v>
      </c>
      <c r="M87" s="46" t="s">
        <v>32</v>
      </c>
      <c r="N87" s="46" t="s">
        <v>32</v>
      </c>
      <c r="O87" s="27" t="s">
        <v>211</v>
      </c>
      <c r="P87" s="27" t="s">
        <v>411</v>
      </c>
    </row>
    <row r="88" spans="1:16" ht="30" customHeight="1" x14ac:dyDescent="0.4">
      <c r="A88" s="27" t="s">
        <v>223</v>
      </c>
      <c r="B88" s="27" t="s">
        <v>223</v>
      </c>
      <c r="C88" s="27" t="s">
        <v>219</v>
      </c>
      <c r="D88" s="46" t="s">
        <v>42</v>
      </c>
      <c r="E88" s="46">
        <f t="shared" si="3"/>
        <v>642</v>
      </c>
      <c r="F88" s="46">
        <f t="shared" si="2"/>
        <v>644</v>
      </c>
      <c r="G88" s="46">
        <v>3</v>
      </c>
      <c r="H88" s="27" t="s">
        <v>220</v>
      </c>
      <c r="I88" s="46"/>
      <c r="J88" s="47" t="s">
        <v>32</v>
      </c>
      <c r="K88" s="47" t="s">
        <v>32</v>
      </c>
      <c r="L88" s="46" t="s">
        <v>32</v>
      </c>
      <c r="M88" s="46" t="s">
        <v>32</v>
      </c>
      <c r="N88" s="46" t="s">
        <v>32</v>
      </c>
      <c r="O88" s="27" t="s">
        <v>211</v>
      </c>
      <c r="P88" s="27" t="s">
        <v>411</v>
      </c>
    </row>
    <row r="89" spans="1:16" ht="30" customHeight="1" x14ac:dyDescent="0.4">
      <c r="A89" s="27" t="s">
        <v>224</v>
      </c>
      <c r="B89" s="27" t="s">
        <v>224</v>
      </c>
      <c r="C89" s="27" t="s">
        <v>219</v>
      </c>
      <c r="D89" s="46" t="s">
        <v>42</v>
      </c>
      <c r="E89" s="46">
        <f t="shared" si="3"/>
        <v>645</v>
      </c>
      <c r="F89" s="46">
        <f t="shared" si="2"/>
        <v>647</v>
      </c>
      <c r="G89" s="46">
        <v>3</v>
      </c>
      <c r="H89" s="27" t="s">
        <v>220</v>
      </c>
      <c r="I89" s="46"/>
      <c r="J89" s="47" t="s">
        <v>32</v>
      </c>
      <c r="K89" s="47" t="s">
        <v>32</v>
      </c>
      <c r="L89" s="46" t="s">
        <v>32</v>
      </c>
      <c r="M89" s="46" t="s">
        <v>32</v>
      </c>
      <c r="N89" s="46" t="s">
        <v>32</v>
      </c>
      <c r="O89" s="27" t="s">
        <v>211</v>
      </c>
      <c r="P89" s="27" t="s">
        <v>411</v>
      </c>
    </row>
    <row r="90" spans="1:16" ht="30" customHeight="1" x14ac:dyDescent="0.4">
      <c r="A90" s="27" t="s">
        <v>225</v>
      </c>
      <c r="B90" s="27" t="s">
        <v>225</v>
      </c>
      <c r="C90" s="27" t="s">
        <v>219</v>
      </c>
      <c r="D90" s="46" t="s">
        <v>42</v>
      </c>
      <c r="E90" s="46">
        <f t="shared" si="3"/>
        <v>648</v>
      </c>
      <c r="F90" s="46">
        <f t="shared" si="2"/>
        <v>650</v>
      </c>
      <c r="G90" s="46">
        <v>3</v>
      </c>
      <c r="H90" s="27" t="s">
        <v>220</v>
      </c>
      <c r="I90" s="46"/>
      <c r="J90" s="47" t="s">
        <v>32</v>
      </c>
      <c r="K90" s="47" t="s">
        <v>32</v>
      </c>
      <c r="L90" s="46" t="s">
        <v>32</v>
      </c>
      <c r="M90" s="46" t="s">
        <v>32</v>
      </c>
      <c r="N90" s="46" t="s">
        <v>32</v>
      </c>
      <c r="O90" s="27" t="s">
        <v>211</v>
      </c>
      <c r="P90" s="27" t="s">
        <v>411</v>
      </c>
    </row>
    <row r="91" spans="1:16" ht="30" customHeight="1" x14ac:dyDescent="0.4">
      <c r="A91" s="27" t="s">
        <v>226</v>
      </c>
      <c r="B91" s="27" t="s">
        <v>226</v>
      </c>
      <c r="C91" s="27" t="s">
        <v>219</v>
      </c>
      <c r="D91" s="46" t="s">
        <v>42</v>
      </c>
      <c r="E91" s="46">
        <f t="shared" si="3"/>
        <v>651</v>
      </c>
      <c r="F91" s="46">
        <f t="shared" si="2"/>
        <v>653</v>
      </c>
      <c r="G91" s="46">
        <v>3</v>
      </c>
      <c r="H91" s="27" t="s">
        <v>220</v>
      </c>
      <c r="I91" s="46"/>
      <c r="J91" s="47" t="s">
        <v>32</v>
      </c>
      <c r="K91" s="47" t="s">
        <v>32</v>
      </c>
      <c r="L91" s="46" t="s">
        <v>32</v>
      </c>
      <c r="M91" s="46" t="s">
        <v>32</v>
      </c>
      <c r="N91" s="46" t="s">
        <v>32</v>
      </c>
      <c r="O91" s="27" t="s">
        <v>211</v>
      </c>
      <c r="P91" s="27" t="s">
        <v>411</v>
      </c>
    </row>
    <row r="92" spans="1:16" ht="30" customHeight="1" x14ac:dyDescent="0.4">
      <c r="A92" s="27" t="s">
        <v>227</v>
      </c>
      <c r="B92" s="27" t="s">
        <v>227</v>
      </c>
      <c r="C92" s="27" t="s">
        <v>219</v>
      </c>
      <c r="D92" s="46" t="s">
        <v>42</v>
      </c>
      <c r="E92" s="46">
        <f t="shared" si="3"/>
        <v>654</v>
      </c>
      <c r="F92" s="46">
        <f t="shared" si="2"/>
        <v>656</v>
      </c>
      <c r="G92" s="46">
        <v>3</v>
      </c>
      <c r="H92" s="27" t="s">
        <v>220</v>
      </c>
      <c r="I92" s="46"/>
      <c r="J92" s="47" t="s">
        <v>32</v>
      </c>
      <c r="K92" s="47" t="s">
        <v>32</v>
      </c>
      <c r="L92" s="46" t="s">
        <v>32</v>
      </c>
      <c r="M92" s="46" t="s">
        <v>32</v>
      </c>
      <c r="N92" s="46" t="s">
        <v>32</v>
      </c>
      <c r="O92" s="27" t="s">
        <v>211</v>
      </c>
      <c r="P92" s="27" t="s">
        <v>411</v>
      </c>
    </row>
    <row r="93" spans="1:16" ht="30" customHeight="1" x14ac:dyDescent="0.4">
      <c r="A93" s="27" t="s">
        <v>228</v>
      </c>
      <c r="B93" s="27" t="s">
        <v>228</v>
      </c>
      <c r="C93" s="27" t="s">
        <v>219</v>
      </c>
      <c r="D93" s="46" t="s">
        <v>42</v>
      </c>
      <c r="E93" s="46">
        <f t="shared" si="3"/>
        <v>657</v>
      </c>
      <c r="F93" s="46">
        <f t="shared" si="2"/>
        <v>659</v>
      </c>
      <c r="G93" s="46">
        <v>3</v>
      </c>
      <c r="H93" s="27" t="s">
        <v>220</v>
      </c>
      <c r="I93" s="46"/>
      <c r="J93" s="47" t="s">
        <v>32</v>
      </c>
      <c r="K93" s="47" t="s">
        <v>32</v>
      </c>
      <c r="L93" s="46" t="s">
        <v>32</v>
      </c>
      <c r="M93" s="46" t="s">
        <v>32</v>
      </c>
      <c r="N93" s="46" t="s">
        <v>32</v>
      </c>
      <c r="O93" s="27" t="s">
        <v>211</v>
      </c>
      <c r="P93" s="27" t="s">
        <v>411</v>
      </c>
    </row>
    <row r="94" spans="1:16" ht="30" customHeight="1" x14ac:dyDescent="0.4">
      <c r="A94" s="27" t="s">
        <v>229</v>
      </c>
      <c r="B94" s="27" t="s">
        <v>229</v>
      </c>
      <c r="C94" s="27" t="s">
        <v>219</v>
      </c>
      <c r="D94" s="46" t="s">
        <v>42</v>
      </c>
      <c r="E94" s="46">
        <f t="shared" si="3"/>
        <v>660</v>
      </c>
      <c r="F94" s="46">
        <f t="shared" si="2"/>
        <v>662</v>
      </c>
      <c r="G94" s="46">
        <v>3</v>
      </c>
      <c r="H94" s="27" t="s">
        <v>220</v>
      </c>
      <c r="I94" s="46"/>
      <c r="J94" s="47" t="s">
        <v>32</v>
      </c>
      <c r="K94" s="47" t="s">
        <v>32</v>
      </c>
      <c r="L94" s="46" t="s">
        <v>32</v>
      </c>
      <c r="M94" s="46" t="s">
        <v>32</v>
      </c>
      <c r="N94" s="46" t="s">
        <v>32</v>
      </c>
      <c r="O94" s="27" t="s">
        <v>211</v>
      </c>
      <c r="P94" s="27" t="s">
        <v>411</v>
      </c>
    </row>
    <row r="95" spans="1:16" ht="30" customHeight="1" x14ac:dyDescent="0.4">
      <c r="A95" s="27" t="s">
        <v>230</v>
      </c>
      <c r="B95" s="27" t="s">
        <v>230</v>
      </c>
      <c r="C95" s="27" t="s">
        <v>231</v>
      </c>
      <c r="D95" s="46" t="s">
        <v>42</v>
      </c>
      <c r="E95" s="46">
        <f t="shared" si="3"/>
        <v>663</v>
      </c>
      <c r="F95" s="46">
        <f t="shared" si="2"/>
        <v>663</v>
      </c>
      <c r="G95" s="46">
        <v>1</v>
      </c>
      <c r="H95" s="27" t="s">
        <v>205</v>
      </c>
      <c r="I95" s="46"/>
      <c r="J95" s="47" t="s">
        <v>32</v>
      </c>
      <c r="K95" s="47" t="s">
        <v>32</v>
      </c>
      <c r="L95" s="46" t="s">
        <v>32</v>
      </c>
      <c r="M95" s="46" t="s">
        <v>32</v>
      </c>
      <c r="N95" s="46" t="s">
        <v>32</v>
      </c>
      <c r="O95" s="27" t="s">
        <v>211</v>
      </c>
      <c r="P95" s="27" t="s">
        <v>411</v>
      </c>
    </row>
    <row r="96" spans="1:16" ht="30" customHeight="1" x14ac:dyDescent="0.4">
      <c r="A96" s="27" t="s">
        <v>232</v>
      </c>
      <c r="B96" s="27" t="s">
        <v>232</v>
      </c>
      <c r="C96" s="27" t="s">
        <v>233</v>
      </c>
      <c r="D96" s="46" t="s">
        <v>63</v>
      </c>
      <c r="E96" s="46">
        <f t="shared" si="3"/>
        <v>664</v>
      </c>
      <c r="F96" s="46">
        <f t="shared" si="2"/>
        <v>671</v>
      </c>
      <c r="G96" s="46">
        <v>8</v>
      </c>
      <c r="H96" s="27" t="s">
        <v>64</v>
      </c>
      <c r="I96" s="46"/>
      <c r="J96" s="47" t="s">
        <v>32</v>
      </c>
      <c r="K96" s="47" t="s">
        <v>32</v>
      </c>
      <c r="L96" s="46" t="s">
        <v>32</v>
      </c>
      <c r="M96" s="46" t="s">
        <v>32</v>
      </c>
      <c r="N96" s="46" t="s">
        <v>32</v>
      </c>
      <c r="O96" s="27" t="s">
        <v>211</v>
      </c>
      <c r="P96" s="27" t="s">
        <v>411</v>
      </c>
    </row>
    <row r="97" spans="1:16" ht="30" customHeight="1" x14ac:dyDescent="0.4">
      <c r="A97" s="27" t="s">
        <v>234</v>
      </c>
      <c r="B97" s="27" t="s">
        <v>234</v>
      </c>
      <c r="C97" s="27" t="s">
        <v>235</v>
      </c>
      <c r="D97" s="46" t="s">
        <v>67</v>
      </c>
      <c r="E97" s="46">
        <f t="shared" si="3"/>
        <v>672</v>
      </c>
      <c r="F97" s="46">
        <f t="shared" si="2"/>
        <v>679</v>
      </c>
      <c r="G97" s="46">
        <v>8</v>
      </c>
      <c r="H97" s="27" t="s">
        <v>64</v>
      </c>
      <c r="I97" s="46"/>
      <c r="J97" s="47" t="s">
        <v>32</v>
      </c>
      <c r="K97" s="47" t="s">
        <v>32</v>
      </c>
      <c r="L97" s="46" t="s">
        <v>32</v>
      </c>
      <c r="M97" s="46" t="s">
        <v>32</v>
      </c>
      <c r="N97" s="46" t="s">
        <v>32</v>
      </c>
      <c r="O97" s="27" t="s">
        <v>211</v>
      </c>
      <c r="P97" s="27" t="s">
        <v>411</v>
      </c>
    </row>
    <row r="98" spans="1:16" ht="30" customHeight="1" x14ac:dyDescent="0.4">
      <c r="A98" s="27" t="s">
        <v>170</v>
      </c>
      <c r="B98" s="27" t="s">
        <v>170</v>
      </c>
      <c r="C98" s="27" t="s">
        <v>171</v>
      </c>
      <c r="D98" s="46" t="s">
        <v>42</v>
      </c>
      <c r="E98" s="46">
        <f t="shared" si="3"/>
        <v>680</v>
      </c>
      <c r="F98" s="46">
        <f t="shared" si="2"/>
        <v>680</v>
      </c>
      <c r="G98" s="46">
        <v>1</v>
      </c>
      <c r="H98" s="27" t="s">
        <v>172</v>
      </c>
      <c r="I98" s="46"/>
      <c r="J98" s="47" t="s">
        <v>32</v>
      </c>
      <c r="K98" s="47" t="s">
        <v>32</v>
      </c>
      <c r="L98" s="46" t="s">
        <v>32</v>
      </c>
      <c r="M98" s="46" t="s">
        <v>32</v>
      </c>
      <c r="N98" s="46" t="s">
        <v>32</v>
      </c>
      <c r="O98" s="27" t="s">
        <v>211</v>
      </c>
      <c r="P98" s="27" t="s">
        <v>411</v>
      </c>
    </row>
    <row r="99" spans="1:16" ht="30" customHeight="1" x14ac:dyDescent="0.4">
      <c r="A99" s="27" t="s">
        <v>212</v>
      </c>
      <c r="B99" s="27" t="s">
        <v>212</v>
      </c>
      <c r="C99" s="27" t="s">
        <v>213</v>
      </c>
      <c r="D99" s="46" t="s">
        <v>42</v>
      </c>
      <c r="E99" s="46">
        <f t="shared" si="3"/>
        <v>681</v>
      </c>
      <c r="F99" s="46">
        <f t="shared" si="2"/>
        <v>690</v>
      </c>
      <c r="G99" s="46">
        <v>10</v>
      </c>
      <c r="H99" s="27" t="s">
        <v>214</v>
      </c>
      <c r="I99" s="46"/>
      <c r="J99" s="47" t="s">
        <v>32</v>
      </c>
      <c r="K99" s="47" t="s">
        <v>32</v>
      </c>
      <c r="L99" s="46" t="s">
        <v>32</v>
      </c>
      <c r="M99" s="46" t="s">
        <v>32</v>
      </c>
      <c r="N99" s="46" t="s">
        <v>32</v>
      </c>
      <c r="O99" s="27" t="s">
        <v>211</v>
      </c>
      <c r="P99" s="27" t="s">
        <v>411</v>
      </c>
    </row>
    <row r="100" spans="1:16" ht="30" customHeight="1" x14ac:dyDescent="0.4">
      <c r="A100" s="27" t="s">
        <v>215</v>
      </c>
      <c r="B100" s="27" t="s">
        <v>215</v>
      </c>
      <c r="C100" s="27" t="s">
        <v>216</v>
      </c>
      <c r="D100" s="46" t="s">
        <v>42</v>
      </c>
      <c r="E100" s="46">
        <f t="shared" si="3"/>
        <v>691</v>
      </c>
      <c r="F100" s="46">
        <f t="shared" si="2"/>
        <v>693</v>
      </c>
      <c r="G100" s="46">
        <v>3</v>
      </c>
      <c r="H100" s="27" t="s">
        <v>217</v>
      </c>
      <c r="I100" s="46"/>
      <c r="J100" s="47" t="s">
        <v>32</v>
      </c>
      <c r="K100" s="47" t="s">
        <v>32</v>
      </c>
      <c r="L100" s="46" t="s">
        <v>32</v>
      </c>
      <c r="M100" s="46" t="s">
        <v>32</v>
      </c>
      <c r="N100" s="46" t="s">
        <v>32</v>
      </c>
      <c r="O100" s="27" t="s">
        <v>211</v>
      </c>
      <c r="P100" s="27" t="s">
        <v>411</v>
      </c>
    </row>
    <row r="101" spans="1:16" ht="30" customHeight="1" x14ac:dyDescent="0.4">
      <c r="A101" s="27" t="s">
        <v>218</v>
      </c>
      <c r="B101" s="27" t="s">
        <v>218</v>
      </c>
      <c r="C101" s="27" t="s">
        <v>219</v>
      </c>
      <c r="D101" s="46" t="s">
        <v>42</v>
      </c>
      <c r="E101" s="46">
        <f t="shared" si="3"/>
        <v>694</v>
      </c>
      <c r="F101" s="46">
        <f t="shared" si="2"/>
        <v>696</v>
      </c>
      <c r="G101" s="46">
        <v>3</v>
      </c>
      <c r="H101" s="27" t="s">
        <v>220</v>
      </c>
      <c r="I101" s="46"/>
      <c r="J101" s="47" t="s">
        <v>32</v>
      </c>
      <c r="K101" s="47" t="s">
        <v>32</v>
      </c>
      <c r="L101" s="46" t="s">
        <v>32</v>
      </c>
      <c r="M101" s="46" t="s">
        <v>32</v>
      </c>
      <c r="N101" s="46" t="s">
        <v>32</v>
      </c>
      <c r="O101" s="27" t="s">
        <v>211</v>
      </c>
      <c r="P101" s="27" t="s">
        <v>411</v>
      </c>
    </row>
    <row r="102" spans="1:16" ht="30" customHeight="1" x14ac:dyDescent="0.4">
      <c r="A102" s="27" t="s">
        <v>221</v>
      </c>
      <c r="B102" s="27" t="s">
        <v>221</v>
      </c>
      <c r="C102" s="27" t="s">
        <v>219</v>
      </c>
      <c r="D102" s="46" t="s">
        <v>42</v>
      </c>
      <c r="E102" s="46">
        <f t="shared" si="3"/>
        <v>697</v>
      </c>
      <c r="F102" s="46">
        <f t="shared" si="2"/>
        <v>699</v>
      </c>
      <c r="G102" s="46">
        <v>3</v>
      </c>
      <c r="H102" s="27" t="s">
        <v>220</v>
      </c>
      <c r="I102" s="46"/>
      <c r="J102" s="47" t="s">
        <v>32</v>
      </c>
      <c r="K102" s="47" t="s">
        <v>32</v>
      </c>
      <c r="L102" s="46" t="s">
        <v>32</v>
      </c>
      <c r="M102" s="46" t="s">
        <v>32</v>
      </c>
      <c r="N102" s="46" t="s">
        <v>32</v>
      </c>
      <c r="O102" s="27" t="s">
        <v>211</v>
      </c>
      <c r="P102" s="27" t="s">
        <v>411</v>
      </c>
    </row>
    <row r="103" spans="1:16" ht="30" customHeight="1" x14ac:dyDescent="0.4">
      <c r="A103" s="27" t="s">
        <v>222</v>
      </c>
      <c r="B103" s="27" t="s">
        <v>222</v>
      </c>
      <c r="C103" s="27" t="s">
        <v>219</v>
      </c>
      <c r="D103" s="46" t="s">
        <v>42</v>
      </c>
      <c r="E103" s="46">
        <f t="shared" si="3"/>
        <v>700</v>
      </c>
      <c r="F103" s="46">
        <f t="shared" si="2"/>
        <v>702</v>
      </c>
      <c r="G103" s="46">
        <v>3</v>
      </c>
      <c r="H103" s="27" t="s">
        <v>220</v>
      </c>
      <c r="I103" s="46"/>
      <c r="J103" s="47" t="s">
        <v>32</v>
      </c>
      <c r="K103" s="47" t="s">
        <v>32</v>
      </c>
      <c r="L103" s="46" t="s">
        <v>32</v>
      </c>
      <c r="M103" s="46" t="s">
        <v>32</v>
      </c>
      <c r="N103" s="46" t="s">
        <v>32</v>
      </c>
      <c r="O103" s="27" t="s">
        <v>211</v>
      </c>
      <c r="P103" s="27" t="s">
        <v>411</v>
      </c>
    </row>
    <row r="104" spans="1:16" ht="30" customHeight="1" x14ac:dyDescent="0.4">
      <c r="A104" s="27" t="s">
        <v>223</v>
      </c>
      <c r="B104" s="27" t="s">
        <v>223</v>
      </c>
      <c r="C104" s="27" t="s">
        <v>219</v>
      </c>
      <c r="D104" s="46" t="s">
        <v>42</v>
      </c>
      <c r="E104" s="46">
        <f t="shared" si="3"/>
        <v>703</v>
      </c>
      <c r="F104" s="46">
        <f t="shared" si="2"/>
        <v>705</v>
      </c>
      <c r="G104" s="46">
        <v>3</v>
      </c>
      <c r="H104" s="27" t="s">
        <v>220</v>
      </c>
      <c r="I104" s="46"/>
      <c r="J104" s="47" t="s">
        <v>32</v>
      </c>
      <c r="K104" s="47" t="s">
        <v>32</v>
      </c>
      <c r="L104" s="46" t="s">
        <v>32</v>
      </c>
      <c r="M104" s="46" t="s">
        <v>32</v>
      </c>
      <c r="N104" s="46" t="s">
        <v>32</v>
      </c>
      <c r="O104" s="27" t="s">
        <v>211</v>
      </c>
      <c r="P104" s="27" t="s">
        <v>411</v>
      </c>
    </row>
    <row r="105" spans="1:16" ht="30" customHeight="1" x14ac:dyDescent="0.4">
      <c r="A105" s="27" t="s">
        <v>224</v>
      </c>
      <c r="B105" s="27" t="s">
        <v>224</v>
      </c>
      <c r="C105" s="27" t="s">
        <v>219</v>
      </c>
      <c r="D105" s="46" t="s">
        <v>42</v>
      </c>
      <c r="E105" s="46">
        <f t="shared" si="3"/>
        <v>706</v>
      </c>
      <c r="F105" s="46">
        <f t="shared" si="2"/>
        <v>708</v>
      </c>
      <c r="G105" s="46">
        <v>3</v>
      </c>
      <c r="H105" s="27" t="s">
        <v>220</v>
      </c>
      <c r="I105" s="46"/>
      <c r="J105" s="47" t="s">
        <v>32</v>
      </c>
      <c r="K105" s="47" t="s">
        <v>32</v>
      </c>
      <c r="L105" s="46" t="s">
        <v>32</v>
      </c>
      <c r="M105" s="46" t="s">
        <v>32</v>
      </c>
      <c r="N105" s="46" t="s">
        <v>32</v>
      </c>
      <c r="O105" s="27" t="s">
        <v>211</v>
      </c>
      <c r="P105" s="27" t="s">
        <v>411</v>
      </c>
    </row>
    <row r="106" spans="1:16" ht="30" customHeight="1" x14ac:dyDescent="0.4">
      <c r="A106" s="27" t="s">
        <v>225</v>
      </c>
      <c r="B106" s="27" t="s">
        <v>225</v>
      </c>
      <c r="C106" s="27" t="s">
        <v>219</v>
      </c>
      <c r="D106" s="46" t="s">
        <v>42</v>
      </c>
      <c r="E106" s="46">
        <f t="shared" si="3"/>
        <v>709</v>
      </c>
      <c r="F106" s="46">
        <f t="shared" si="2"/>
        <v>711</v>
      </c>
      <c r="G106" s="46">
        <v>3</v>
      </c>
      <c r="H106" s="27" t="s">
        <v>220</v>
      </c>
      <c r="I106" s="46"/>
      <c r="J106" s="47" t="s">
        <v>32</v>
      </c>
      <c r="K106" s="47" t="s">
        <v>32</v>
      </c>
      <c r="L106" s="46" t="s">
        <v>32</v>
      </c>
      <c r="M106" s="46" t="s">
        <v>32</v>
      </c>
      <c r="N106" s="46" t="s">
        <v>32</v>
      </c>
      <c r="O106" s="27" t="s">
        <v>211</v>
      </c>
      <c r="P106" s="27" t="s">
        <v>411</v>
      </c>
    </row>
    <row r="107" spans="1:16" ht="30" customHeight="1" x14ac:dyDescent="0.4">
      <c r="A107" s="27" t="s">
        <v>226</v>
      </c>
      <c r="B107" s="27" t="s">
        <v>226</v>
      </c>
      <c r="C107" s="27" t="s">
        <v>219</v>
      </c>
      <c r="D107" s="46" t="s">
        <v>42</v>
      </c>
      <c r="E107" s="46">
        <f t="shared" si="3"/>
        <v>712</v>
      </c>
      <c r="F107" s="46">
        <f t="shared" si="2"/>
        <v>714</v>
      </c>
      <c r="G107" s="46">
        <v>3</v>
      </c>
      <c r="H107" s="27" t="s">
        <v>220</v>
      </c>
      <c r="I107" s="46"/>
      <c r="J107" s="47" t="s">
        <v>32</v>
      </c>
      <c r="K107" s="47" t="s">
        <v>32</v>
      </c>
      <c r="L107" s="46" t="s">
        <v>32</v>
      </c>
      <c r="M107" s="46" t="s">
        <v>32</v>
      </c>
      <c r="N107" s="46" t="s">
        <v>32</v>
      </c>
      <c r="O107" s="27" t="s">
        <v>211</v>
      </c>
      <c r="P107" s="27" t="s">
        <v>411</v>
      </c>
    </row>
    <row r="108" spans="1:16" ht="30" customHeight="1" x14ac:dyDescent="0.4">
      <c r="A108" s="27" t="s">
        <v>227</v>
      </c>
      <c r="B108" s="27" t="s">
        <v>227</v>
      </c>
      <c r="C108" s="27" t="s">
        <v>219</v>
      </c>
      <c r="D108" s="46" t="s">
        <v>42</v>
      </c>
      <c r="E108" s="46">
        <f t="shared" si="3"/>
        <v>715</v>
      </c>
      <c r="F108" s="46">
        <f t="shared" si="2"/>
        <v>717</v>
      </c>
      <c r="G108" s="46">
        <v>3</v>
      </c>
      <c r="H108" s="27" t="s">
        <v>220</v>
      </c>
      <c r="I108" s="46"/>
      <c r="J108" s="47" t="s">
        <v>32</v>
      </c>
      <c r="K108" s="47" t="s">
        <v>32</v>
      </c>
      <c r="L108" s="46" t="s">
        <v>32</v>
      </c>
      <c r="M108" s="46" t="s">
        <v>32</v>
      </c>
      <c r="N108" s="46" t="s">
        <v>32</v>
      </c>
      <c r="O108" s="27" t="s">
        <v>211</v>
      </c>
      <c r="P108" s="27" t="s">
        <v>411</v>
      </c>
    </row>
    <row r="109" spans="1:16" ht="30" customHeight="1" x14ac:dyDescent="0.4">
      <c r="A109" s="27" t="s">
        <v>228</v>
      </c>
      <c r="B109" s="27" t="s">
        <v>228</v>
      </c>
      <c r="C109" s="27" t="s">
        <v>219</v>
      </c>
      <c r="D109" s="46" t="s">
        <v>42</v>
      </c>
      <c r="E109" s="46">
        <f t="shared" si="3"/>
        <v>718</v>
      </c>
      <c r="F109" s="46">
        <f t="shared" si="2"/>
        <v>720</v>
      </c>
      <c r="G109" s="46">
        <v>3</v>
      </c>
      <c r="H109" s="27" t="s">
        <v>220</v>
      </c>
      <c r="I109" s="46"/>
      <c r="J109" s="47" t="s">
        <v>32</v>
      </c>
      <c r="K109" s="47" t="s">
        <v>32</v>
      </c>
      <c r="L109" s="46" t="s">
        <v>32</v>
      </c>
      <c r="M109" s="46" t="s">
        <v>32</v>
      </c>
      <c r="N109" s="46" t="s">
        <v>32</v>
      </c>
      <c r="O109" s="27" t="s">
        <v>211</v>
      </c>
      <c r="P109" s="27" t="s">
        <v>411</v>
      </c>
    </row>
    <row r="110" spans="1:16" ht="30" customHeight="1" x14ac:dyDescent="0.4">
      <c r="A110" s="27" t="s">
        <v>229</v>
      </c>
      <c r="B110" s="27" t="s">
        <v>229</v>
      </c>
      <c r="C110" s="27" t="s">
        <v>219</v>
      </c>
      <c r="D110" s="46" t="s">
        <v>42</v>
      </c>
      <c r="E110" s="46">
        <f t="shared" si="3"/>
        <v>721</v>
      </c>
      <c r="F110" s="46">
        <f t="shared" si="2"/>
        <v>723</v>
      </c>
      <c r="G110" s="46">
        <v>3</v>
      </c>
      <c r="H110" s="27" t="s">
        <v>220</v>
      </c>
      <c r="I110" s="46"/>
      <c r="J110" s="47" t="s">
        <v>32</v>
      </c>
      <c r="K110" s="47" t="s">
        <v>32</v>
      </c>
      <c r="L110" s="46" t="s">
        <v>32</v>
      </c>
      <c r="M110" s="46" t="s">
        <v>32</v>
      </c>
      <c r="N110" s="46" t="s">
        <v>32</v>
      </c>
      <c r="O110" s="27" t="s">
        <v>211</v>
      </c>
      <c r="P110" s="27" t="s">
        <v>411</v>
      </c>
    </row>
    <row r="111" spans="1:16" ht="30" customHeight="1" x14ac:dyDescent="0.4">
      <c r="A111" s="27" t="s">
        <v>230</v>
      </c>
      <c r="B111" s="27" t="s">
        <v>230</v>
      </c>
      <c r="C111" s="27" t="s">
        <v>231</v>
      </c>
      <c r="D111" s="46" t="s">
        <v>42</v>
      </c>
      <c r="E111" s="46">
        <f t="shared" si="3"/>
        <v>724</v>
      </c>
      <c r="F111" s="46">
        <f t="shared" si="2"/>
        <v>724</v>
      </c>
      <c r="G111" s="46">
        <v>1</v>
      </c>
      <c r="H111" s="27" t="s">
        <v>205</v>
      </c>
      <c r="I111" s="46"/>
      <c r="J111" s="47" t="s">
        <v>32</v>
      </c>
      <c r="K111" s="47" t="s">
        <v>32</v>
      </c>
      <c r="L111" s="46" t="s">
        <v>32</v>
      </c>
      <c r="M111" s="46" t="s">
        <v>32</v>
      </c>
      <c r="N111" s="46" t="s">
        <v>32</v>
      </c>
      <c r="O111" s="27" t="s">
        <v>211</v>
      </c>
      <c r="P111" s="27" t="s">
        <v>411</v>
      </c>
    </row>
    <row r="112" spans="1:16" ht="30" customHeight="1" x14ac:dyDescent="0.4">
      <c r="A112" s="27" t="s">
        <v>232</v>
      </c>
      <c r="B112" s="27" t="s">
        <v>232</v>
      </c>
      <c r="C112" s="27" t="s">
        <v>233</v>
      </c>
      <c r="D112" s="46" t="s">
        <v>63</v>
      </c>
      <c r="E112" s="46">
        <f t="shared" si="3"/>
        <v>725</v>
      </c>
      <c r="F112" s="46">
        <f t="shared" ref="F112:F175" si="4">F111+G112</f>
        <v>732</v>
      </c>
      <c r="G112" s="46">
        <v>8</v>
      </c>
      <c r="H112" s="27" t="s">
        <v>64</v>
      </c>
      <c r="I112" s="46"/>
      <c r="J112" s="47" t="s">
        <v>32</v>
      </c>
      <c r="K112" s="47" t="s">
        <v>32</v>
      </c>
      <c r="L112" s="46" t="s">
        <v>32</v>
      </c>
      <c r="M112" s="46" t="s">
        <v>32</v>
      </c>
      <c r="N112" s="46" t="s">
        <v>32</v>
      </c>
      <c r="O112" s="27" t="s">
        <v>211</v>
      </c>
      <c r="P112" s="27" t="s">
        <v>411</v>
      </c>
    </row>
    <row r="113" spans="1:16" ht="30" customHeight="1" x14ac:dyDescent="0.4">
      <c r="A113" s="27" t="s">
        <v>234</v>
      </c>
      <c r="B113" s="27" t="s">
        <v>234</v>
      </c>
      <c r="C113" s="27" t="s">
        <v>235</v>
      </c>
      <c r="D113" s="46" t="s">
        <v>67</v>
      </c>
      <c r="E113" s="46">
        <f t="shared" si="3"/>
        <v>733</v>
      </c>
      <c r="F113" s="46">
        <f t="shared" si="4"/>
        <v>740</v>
      </c>
      <c r="G113" s="46">
        <v>8</v>
      </c>
      <c r="H113" s="27" t="s">
        <v>64</v>
      </c>
      <c r="I113" s="46"/>
      <c r="J113" s="47" t="s">
        <v>32</v>
      </c>
      <c r="K113" s="47" t="s">
        <v>32</v>
      </c>
      <c r="L113" s="46" t="s">
        <v>32</v>
      </c>
      <c r="M113" s="46" t="s">
        <v>32</v>
      </c>
      <c r="N113" s="46" t="s">
        <v>32</v>
      </c>
      <c r="O113" s="27" t="s">
        <v>211</v>
      </c>
      <c r="P113" s="27" t="s">
        <v>411</v>
      </c>
    </row>
    <row r="114" spans="1:16" ht="30" customHeight="1" x14ac:dyDescent="0.4">
      <c r="A114" s="27" t="s">
        <v>170</v>
      </c>
      <c r="B114" s="27" t="s">
        <v>170</v>
      </c>
      <c r="C114" s="27" t="s">
        <v>171</v>
      </c>
      <c r="D114" s="46" t="s">
        <v>42</v>
      </c>
      <c r="E114" s="46">
        <f t="shared" si="3"/>
        <v>741</v>
      </c>
      <c r="F114" s="46">
        <f t="shared" si="4"/>
        <v>741</v>
      </c>
      <c r="G114" s="46">
        <v>1</v>
      </c>
      <c r="H114" s="27" t="s">
        <v>172</v>
      </c>
      <c r="I114" s="46"/>
      <c r="J114" s="47" t="s">
        <v>32</v>
      </c>
      <c r="K114" s="47" t="s">
        <v>32</v>
      </c>
      <c r="L114" s="46" t="s">
        <v>32</v>
      </c>
      <c r="M114" s="46" t="s">
        <v>32</v>
      </c>
      <c r="N114" s="46" t="s">
        <v>32</v>
      </c>
      <c r="O114" s="27" t="s">
        <v>211</v>
      </c>
      <c r="P114" s="27" t="s">
        <v>411</v>
      </c>
    </row>
    <row r="115" spans="1:16" ht="30" customHeight="1" x14ac:dyDescent="0.4">
      <c r="A115" s="27" t="s">
        <v>212</v>
      </c>
      <c r="B115" s="27" t="s">
        <v>212</v>
      </c>
      <c r="C115" s="27" t="s">
        <v>213</v>
      </c>
      <c r="D115" s="46" t="s">
        <v>42</v>
      </c>
      <c r="E115" s="46">
        <f t="shared" si="3"/>
        <v>742</v>
      </c>
      <c r="F115" s="46">
        <f t="shared" si="4"/>
        <v>751</v>
      </c>
      <c r="G115" s="46">
        <v>10</v>
      </c>
      <c r="H115" s="27" t="s">
        <v>214</v>
      </c>
      <c r="I115" s="46"/>
      <c r="J115" s="47" t="s">
        <v>32</v>
      </c>
      <c r="K115" s="47" t="s">
        <v>32</v>
      </c>
      <c r="L115" s="46" t="s">
        <v>32</v>
      </c>
      <c r="M115" s="46" t="s">
        <v>32</v>
      </c>
      <c r="N115" s="46" t="s">
        <v>32</v>
      </c>
      <c r="O115" s="27" t="s">
        <v>211</v>
      </c>
      <c r="P115" s="27" t="s">
        <v>411</v>
      </c>
    </row>
    <row r="116" spans="1:16" ht="30" customHeight="1" x14ac:dyDescent="0.4">
      <c r="A116" s="27" t="s">
        <v>215</v>
      </c>
      <c r="B116" s="27" t="s">
        <v>215</v>
      </c>
      <c r="C116" s="27" t="s">
        <v>216</v>
      </c>
      <c r="D116" s="46" t="s">
        <v>42</v>
      </c>
      <c r="E116" s="46">
        <f t="shared" si="3"/>
        <v>752</v>
      </c>
      <c r="F116" s="46">
        <f t="shared" si="4"/>
        <v>754</v>
      </c>
      <c r="G116" s="46">
        <v>3</v>
      </c>
      <c r="H116" s="27" t="s">
        <v>217</v>
      </c>
      <c r="I116" s="46"/>
      <c r="J116" s="47" t="s">
        <v>32</v>
      </c>
      <c r="K116" s="47" t="s">
        <v>32</v>
      </c>
      <c r="L116" s="46" t="s">
        <v>32</v>
      </c>
      <c r="M116" s="46" t="s">
        <v>32</v>
      </c>
      <c r="N116" s="46" t="s">
        <v>32</v>
      </c>
      <c r="O116" s="27" t="s">
        <v>211</v>
      </c>
      <c r="P116" s="27" t="s">
        <v>411</v>
      </c>
    </row>
    <row r="117" spans="1:16" ht="30" customHeight="1" x14ac:dyDescent="0.4">
      <c r="A117" s="27" t="s">
        <v>218</v>
      </c>
      <c r="B117" s="27" t="s">
        <v>218</v>
      </c>
      <c r="C117" s="27" t="s">
        <v>219</v>
      </c>
      <c r="D117" s="46" t="s">
        <v>42</v>
      </c>
      <c r="E117" s="46">
        <f t="shared" si="3"/>
        <v>755</v>
      </c>
      <c r="F117" s="46">
        <f t="shared" si="4"/>
        <v>757</v>
      </c>
      <c r="G117" s="46">
        <v>3</v>
      </c>
      <c r="H117" s="27" t="s">
        <v>220</v>
      </c>
      <c r="I117" s="46"/>
      <c r="J117" s="47" t="s">
        <v>32</v>
      </c>
      <c r="K117" s="47" t="s">
        <v>32</v>
      </c>
      <c r="L117" s="46" t="s">
        <v>32</v>
      </c>
      <c r="M117" s="46" t="s">
        <v>32</v>
      </c>
      <c r="N117" s="46" t="s">
        <v>32</v>
      </c>
      <c r="O117" s="27" t="s">
        <v>211</v>
      </c>
      <c r="P117" s="27" t="s">
        <v>411</v>
      </c>
    </row>
    <row r="118" spans="1:16" ht="30" customHeight="1" x14ac:dyDescent="0.4">
      <c r="A118" s="27" t="s">
        <v>221</v>
      </c>
      <c r="B118" s="27" t="s">
        <v>221</v>
      </c>
      <c r="C118" s="27" t="s">
        <v>219</v>
      </c>
      <c r="D118" s="46" t="s">
        <v>42</v>
      </c>
      <c r="E118" s="46">
        <f t="shared" si="3"/>
        <v>758</v>
      </c>
      <c r="F118" s="46">
        <f t="shared" si="4"/>
        <v>760</v>
      </c>
      <c r="G118" s="46">
        <v>3</v>
      </c>
      <c r="H118" s="27" t="s">
        <v>220</v>
      </c>
      <c r="I118" s="46"/>
      <c r="J118" s="47" t="s">
        <v>32</v>
      </c>
      <c r="K118" s="47" t="s">
        <v>32</v>
      </c>
      <c r="L118" s="46" t="s">
        <v>32</v>
      </c>
      <c r="M118" s="46" t="s">
        <v>32</v>
      </c>
      <c r="N118" s="46" t="s">
        <v>32</v>
      </c>
      <c r="O118" s="27" t="s">
        <v>211</v>
      </c>
      <c r="P118" s="27" t="s">
        <v>411</v>
      </c>
    </row>
    <row r="119" spans="1:16" ht="30" customHeight="1" x14ac:dyDescent="0.4">
      <c r="A119" s="27" t="s">
        <v>222</v>
      </c>
      <c r="B119" s="27" t="s">
        <v>222</v>
      </c>
      <c r="C119" s="27" t="s">
        <v>219</v>
      </c>
      <c r="D119" s="46" t="s">
        <v>42</v>
      </c>
      <c r="E119" s="46">
        <f t="shared" si="3"/>
        <v>761</v>
      </c>
      <c r="F119" s="46">
        <f t="shared" si="4"/>
        <v>763</v>
      </c>
      <c r="G119" s="46">
        <v>3</v>
      </c>
      <c r="H119" s="27" t="s">
        <v>220</v>
      </c>
      <c r="I119" s="46"/>
      <c r="J119" s="47" t="s">
        <v>32</v>
      </c>
      <c r="K119" s="47" t="s">
        <v>32</v>
      </c>
      <c r="L119" s="46" t="s">
        <v>32</v>
      </c>
      <c r="M119" s="46" t="s">
        <v>32</v>
      </c>
      <c r="N119" s="46" t="s">
        <v>32</v>
      </c>
      <c r="O119" s="27" t="s">
        <v>211</v>
      </c>
      <c r="P119" s="27" t="s">
        <v>411</v>
      </c>
    </row>
    <row r="120" spans="1:16" ht="30" customHeight="1" x14ac:dyDescent="0.4">
      <c r="A120" s="27" t="s">
        <v>223</v>
      </c>
      <c r="B120" s="27" t="s">
        <v>223</v>
      </c>
      <c r="C120" s="27" t="s">
        <v>219</v>
      </c>
      <c r="D120" s="46" t="s">
        <v>42</v>
      </c>
      <c r="E120" s="46">
        <f t="shared" si="3"/>
        <v>764</v>
      </c>
      <c r="F120" s="46">
        <f t="shared" si="4"/>
        <v>766</v>
      </c>
      <c r="G120" s="46">
        <v>3</v>
      </c>
      <c r="H120" s="27" t="s">
        <v>220</v>
      </c>
      <c r="I120" s="46"/>
      <c r="J120" s="47" t="s">
        <v>32</v>
      </c>
      <c r="K120" s="47" t="s">
        <v>32</v>
      </c>
      <c r="L120" s="46" t="s">
        <v>32</v>
      </c>
      <c r="M120" s="46" t="s">
        <v>32</v>
      </c>
      <c r="N120" s="46" t="s">
        <v>32</v>
      </c>
      <c r="O120" s="27" t="s">
        <v>211</v>
      </c>
      <c r="P120" s="27" t="s">
        <v>411</v>
      </c>
    </row>
    <row r="121" spans="1:16" ht="30" customHeight="1" x14ac:dyDescent="0.4">
      <c r="A121" s="27" t="s">
        <v>224</v>
      </c>
      <c r="B121" s="27" t="s">
        <v>224</v>
      </c>
      <c r="C121" s="27" t="s">
        <v>219</v>
      </c>
      <c r="D121" s="46" t="s">
        <v>42</v>
      </c>
      <c r="E121" s="46">
        <f t="shared" si="3"/>
        <v>767</v>
      </c>
      <c r="F121" s="46">
        <f t="shared" si="4"/>
        <v>769</v>
      </c>
      <c r="G121" s="46">
        <v>3</v>
      </c>
      <c r="H121" s="27" t="s">
        <v>220</v>
      </c>
      <c r="I121" s="46"/>
      <c r="J121" s="47" t="s">
        <v>32</v>
      </c>
      <c r="K121" s="47" t="s">
        <v>32</v>
      </c>
      <c r="L121" s="46" t="s">
        <v>32</v>
      </c>
      <c r="M121" s="46" t="s">
        <v>32</v>
      </c>
      <c r="N121" s="46" t="s">
        <v>32</v>
      </c>
      <c r="O121" s="27" t="s">
        <v>211</v>
      </c>
      <c r="P121" s="27" t="s">
        <v>411</v>
      </c>
    </row>
    <row r="122" spans="1:16" ht="30" customHeight="1" x14ac:dyDescent="0.4">
      <c r="A122" s="27" t="s">
        <v>225</v>
      </c>
      <c r="B122" s="27" t="s">
        <v>225</v>
      </c>
      <c r="C122" s="27" t="s">
        <v>219</v>
      </c>
      <c r="D122" s="46" t="s">
        <v>42</v>
      </c>
      <c r="E122" s="46">
        <f t="shared" si="3"/>
        <v>770</v>
      </c>
      <c r="F122" s="46">
        <f t="shared" si="4"/>
        <v>772</v>
      </c>
      <c r="G122" s="46">
        <v>3</v>
      </c>
      <c r="H122" s="27" t="s">
        <v>220</v>
      </c>
      <c r="I122" s="46"/>
      <c r="J122" s="47" t="s">
        <v>32</v>
      </c>
      <c r="K122" s="47" t="s">
        <v>32</v>
      </c>
      <c r="L122" s="46" t="s">
        <v>32</v>
      </c>
      <c r="M122" s="46" t="s">
        <v>32</v>
      </c>
      <c r="N122" s="46" t="s">
        <v>32</v>
      </c>
      <c r="O122" s="27" t="s">
        <v>211</v>
      </c>
      <c r="P122" s="27" t="s">
        <v>411</v>
      </c>
    </row>
    <row r="123" spans="1:16" ht="30" customHeight="1" x14ac:dyDescent="0.4">
      <c r="A123" s="27" t="s">
        <v>226</v>
      </c>
      <c r="B123" s="27" t="s">
        <v>226</v>
      </c>
      <c r="C123" s="27" t="s">
        <v>219</v>
      </c>
      <c r="D123" s="46" t="s">
        <v>42</v>
      </c>
      <c r="E123" s="46">
        <f t="shared" si="3"/>
        <v>773</v>
      </c>
      <c r="F123" s="46">
        <f t="shared" si="4"/>
        <v>775</v>
      </c>
      <c r="G123" s="46">
        <v>3</v>
      </c>
      <c r="H123" s="27" t="s">
        <v>220</v>
      </c>
      <c r="I123" s="46"/>
      <c r="J123" s="47" t="s">
        <v>32</v>
      </c>
      <c r="K123" s="47" t="s">
        <v>32</v>
      </c>
      <c r="L123" s="46" t="s">
        <v>32</v>
      </c>
      <c r="M123" s="46" t="s">
        <v>32</v>
      </c>
      <c r="N123" s="46" t="s">
        <v>32</v>
      </c>
      <c r="O123" s="27" t="s">
        <v>211</v>
      </c>
      <c r="P123" s="27" t="s">
        <v>411</v>
      </c>
    </row>
    <row r="124" spans="1:16" ht="30" customHeight="1" x14ac:dyDescent="0.4">
      <c r="A124" s="27" t="s">
        <v>227</v>
      </c>
      <c r="B124" s="27" t="s">
        <v>227</v>
      </c>
      <c r="C124" s="27" t="s">
        <v>219</v>
      </c>
      <c r="D124" s="46" t="s">
        <v>42</v>
      </c>
      <c r="E124" s="46">
        <f t="shared" si="3"/>
        <v>776</v>
      </c>
      <c r="F124" s="46">
        <f t="shared" si="4"/>
        <v>778</v>
      </c>
      <c r="G124" s="46">
        <v>3</v>
      </c>
      <c r="H124" s="27" t="s">
        <v>220</v>
      </c>
      <c r="I124" s="46"/>
      <c r="J124" s="47" t="s">
        <v>32</v>
      </c>
      <c r="K124" s="47" t="s">
        <v>32</v>
      </c>
      <c r="L124" s="46" t="s">
        <v>32</v>
      </c>
      <c r="M124" s="46" t="s">
        <v>32</v>
      </c>
      <c r="N124" s="46" t="s">
        <v>32</v>
      </c>
      <c r="O124" s="27" t="s">
        <v>211</v>
      </c>
      <c r="P124" s="27" t="s">
        <v>411</v>
      </c>
    </row>
    <row r="125" spans="1:16" ht="30" customHeight="1" x14ac:dyDescent="0.4">
      <c r="A125" s="27" t="s">
        <v>228</v>
      </c>
      <c r="B125" s="27" t="s">
        <v>228</v>
      </c>
      <c r="C125" s="27" t="s">
        <v>219</v>
      </c>
      <c r="D125" s="46" t="s">
        <v>42</v>
      </c>
      <c r="E125" s="46">
        <f t="shared" si="3"/>
        <v>779</v>
      </c>
      <c r="F125" s="46">
        <f t="shared" si="4"/>
        <v>781</v>
      </c>
      <c r="G125" s="46">
        <v>3</v>
      </c>
      <c r="H125" s="27" t="s">
        <v>220</v>
      </c>
      <c r="I125" s="46"/>
      <c r="J125" s="47" t="s">
        <v>32</v>
      </c>
      <c r="K125" s="47" t="s">
        <v>32</v>
      </c>
      <c r="L125" s="46" t="s">
        <v>32</v>
      </c>
      <c r="M125" s="46" t="s">
        <v>32</v>
      </c>
      <c r="N125" s="46" t="s">
        <v>32</v>
      </c>
      <c r="O125" s="27" t="s">
        <v>211</v>
      </c>
      <c r="P125" s="27" t="s">
        <v>411</v>
      </c>
    </row>
    <row r="126" spans="1:16" ht="30" customHeight="1" x14ac:dyDescent="0.4">
      <c r="A126" s="27" t="s">
        <v>229</v>
      </c>
      <c r="B126" s="27" t="s">
        <v>229</v>
      </c>
      <c r="C126" s="27" t="s">
        <v>219</v>
      </c>
      <c r="D126" s="46" t="s">
        <v>42</v>
      </c>
      <c r="E126" s="46">
        <f t="shared" si="3"/>
        <v>782</v>
      </c>
      <c r="F126" s="46">
        <f t="shared" si="4"/>
        <v>784</v>
      </c>
      <c r="G126" s="46">
        <v>3</v>
      </c>
      <c r="H126" s="27" t="s">
        <v>220</v>
      </c>
      <c r="I126" s="46"/>
      <c r="J126" s="47" t="s">
        <v>32</v>
      </c>
      <c r="K126" s="47" t="s">
        <v>32</v>
      </c>
      <c r="L126" s="46" t="s">
        <v>32</v>
      </c>
      <c r="M126" s="46" t="s">
        <v>32</v>
      </c>
      <c r="N126" s="46" t="s">
        <v>32</v>
      </c>
      <c r="O126" s="27" t="s">
        <v>211</v>
      </c>
      <c r="P126" s="27" t="s">
        <v>411</v>
      </c>
    </row>
    <row r="127" spans="1:16" ht="30" customHeight="1" x14ac:dyDescent="0.4">
      <c r="A127" s="27" t="s">
        <v>230</v>
      </c>
      <c r="B127" s="27" t="s">
        <v>230</v>
      </c>
      <c r="C127" s="27" t="s">
        <v>231</v>
      </c>
      <c r="D127" s="46" t="s">
        <v>42</v>
      </c>
      <c r="E127" s="46">
        <f t="shared" si="3"/>
        <v>785</v>
      </c>
      <c r="F127" s="46">
        <f t="shared" si="4"/>
        <v>785</v>
      </c>
      <c r="G127" s="46">
        <v>1</v>
      </c>
      <c r="H127" s="27" t="s">
        <v>205</v>
      </c>
      <c r="I127" s="46"/>
      <c r="J127" s="47" t="s">
        <v>32</v>
      </c>
      <c r="K127" s="47" t="s">
        <v>32</v>
      </c>
      <c r="L127" s="46" t="s">
        <v>32</v>
      </c>
      <c r="M127" s="46" t="s">
        <v>32</v>
      </c>
      <c r="N127" s="46" t="s">
        <v>32</v>
      </c>
      <c r="O127" s="27" t="s">
        <v>211</v>
      </c>
      <c r="P127" s="27" t="s">
        <v>411</v>
      </c>
    </row>
    <row r="128" spans="1:16" ht="30" customHeight="1" x14ac:dyDescent="0.4">
      <c r="A128" s="27" t="s">
        <v>232</v>
      </c>
      <c r="B128" s="27" t="s">
        <v>232</v>
      </c>
      <c r="C128" s="27" t="s">
        <v>233</v>
      </c>
      <c r="D128" s="46" t="s">
        <v>63</v>
      </c>
      <c r="E128" s="46">
        <f t="shared" si="3"/>
        <v>786</v>
      </c>
      <c r="F128" s="46">
        <f t="shared" si="4"/>
        <v>793</v>
      </c>
      <c r="G128" s="46">
        <v>8</v>
      </c>
      <c r="H128" s="27" t="s">
        <v>64</v>
      </c>
      <c r="I128" s="46"/>
      <c r="J128" s="47" t="s">
        <v>32</v>
      </c>
      <c r="K128" s="47" t="s">
        <v>32</v>
      </c>
      <c r="L128" s="46" t="s">
        <v>32</v>
      </c>
      <c r="M128" s="46" t="s">
        <v>32</v>
      </c>
      <c r="N128" s="46" t="s">
        <v>32</v>
      </c>
      <c r="O128" s="27" t="s">
        <v>211</v>
      </c>
      <c r="P128" s="27" t="s">
        <v>411</v>
      </c>
    </row>
    <row r="129" spans="1:16" ht="30" customHeight="1" x14ac:dyDescent="0.4">
      <c r="A129" s="27" t="s">
        <v>234</v>
      </c>
      <c r="B129" s="27" t="s">
        <v>234</v>
      </c>
      <c r="C129" s="27" t="s">
        <v>235</v>
      </c>
      <c r="D129" s="46" t="s">
        <v>67</v>
      </c>
      <c r="E129" s="46">
        <f t="shared" si="3"/>
        <v>794</v>
      </c>
      <c r="F129" s="46">
        <f t="shared" si="4"/>
        <v>801</v>
      </c>
      <c r="G129" s="46">
        <v>8</v>
      </c>
      <c r="H129" s="27" t="s">
        <v>64</v>
      </c>
      <c r="I129" s="46"/>
      <c r="J129" s="47" t="s">
        <v>32</v>
      </c>
      <c r="K129" s="47" t="s">
        <v>32</v>
      </c>
      <c r="L129" s="46" t="s">
        <v>32</v>
      </c>
      <c r="M129" s="46" t="s">
        <v>32</v>
      </c>
      <c r="N129" s="46" t="s">
        <v>32</v>
      </c>
      <c r="O129" s="27" t="s">
        <v>211</v>
      </c>
      <c r="P129" s="27" t="s">
        <v>411</v>
      </c>
    </row>
    <row r="130" spans="1:16" ht="30" customHeight="1" x14ac:dyDescent="0.4">
      <c r="A130" s="27" t="s">
        <v>170</v>
      </c>
      <c r="B130" s="27" t="s">
        <v>170</v>
      </c>
      <c r="C130" s="27" t="s">
        <v>171</v>
      </c>
      <c r="D130" s="46" t="s">
        <v>42</v>
      </c>
      <c r="E130" s="46">
        <f t="shared" si="3"/>
        <v>802</v>
      </c>
      <c r="F130" s="46">
        <f t="shared" si="4"/>
        <v>802</v>
      </c>
      <c r="G130" s="46">
        <v>1</v>
      </c>
      <c r="H130" s="27" t="s">
        <v>172</v>
      </c>
      <c r="I130" s="46"/>
      <c r="J130" s="47" t="s">
        <v>32</v>
      </c>
      <c r="K130" s="47" t="s">
        <v>32</v>
      </c>
      <c r="L130" s="46" t="s">
        <v>32</v>
      </c>
      <c r="M130" s="46" t="s">
        <v>32</v>
      </c>
      <c r="N130" s="46" t="s">
        <v>32</v>
      </c>
      <c r="O130" s="27" t="s">
        <v>211</v>
      </c>
      <c r="P130" s="27" t="s">
        <v>411</v>
      </c>
    </row>
    <row r="131" spans="1:16" ht="30" customHeight="1" x14ac:dyDescent="0.4">
      <c r="A131" s="27" t="s">
        <v>212</v>
      </c>
      <c r="B131" s="27" t="s">
        <v>212</v>
      </c>
      <c r="C131" s="27" t="s">
        <v>213</v>
      </c>
      <c r="D131" s="46" t="s">
        <v>42</v>
      </c>
      <c r="E131" s="46">
        <f t="shared" si="3"/>
        <v>803</v>
      </c>
      <c r="F131" s="46">
        <f t="shared" si="4"/>
        <v>812</v>
      </c>
      <c r="G131" s="46">
        <v>10</v>
      </c>
      <c r="H131" s="27" t="s">
        <v>214</v>
      </c>
      <c r="I131" s="46"/>
      <c r="J131" s="47" t="s">
        <v>32</v>
      </c>
      <c r="K131" s="47" t="s">
        <v>32</v>
      </c>
      <c r="L131" s="46" t="s">
        <v>32</v>
      </c>
      <c r="M131" s="46" t="s">
        <v>32</v>
      </c>
      <c r="N131" s="46" t="s">
        <v>32</v>
      </c>
      <c r="O131" s="27" t="s">
        <v>211</v>
      </c>
      <c r="P131" s="27" t="s">
        <v>411</v>
      </c>
    </row>
    <row r="132" spans="1:16" ht="30" customHeight="1" x14ac:dyDescent="0.4">
      <c r="A132" s="27" t="s">
        <v>215</v>
      </c>
      <c r="B132" s="27" t="s">
        <v>215</v>
      </c>
      <c r="C132" s="27" t="s">
        <v>216</v>
      </c>
      <c r="D132" s="46" t="s">
        <v>42</v>
      </c>
      <c r="E132" s="46">
        <f t="shared" si="3"/>
        <v>813</v>
      </c>
      <c r="F132" s="46">
        <f t="shared" si="4"/>
        <v>815</v>
      </c>
      <c r="G132" s="46">
        <v>3</v>
      </c>
      <c r="H132" s="27" t="s">
        <v>217</v>
      </c>
      <c r="I132" s="46"/>
      <c r="J132" s="47" t="s">
        <v>32</v>
      </c>
      <c r="K132" s="47" t="s">
        <v>32</v>
      </c>
      <c r="L132" s="46" t="s">
        <v>32</v>
      </c>
      <c r="M132" s="46" t="s">
        <v>32</v>
      </c>
      <c r="N132" s="46" t="s">
        <v>32</v>
      </c>
      <c r="O132" s="27" t="s">
        <v>211</v>
      </c>
      <c r="P132" s="27" t="s">
        <v>411</v>
      </c>
    </row>
    <row r="133" spans="1:16" ht="30" customHeight="1" x14ac:dyDescent="0.4">
      <c r="A133" s="27" t="s">
        <v>218</v>
      </c>
      <c r="B133" s="27" t="s">
        <v>218</v>
      </c>
      <c r="C133" s="27" t="s">
        <v>219</v>
      </c>
      <c r="D133" s="46" t="s">
        <v>42</v>
      </c>
      <c r="E133" s="46">
        <f t="shared" si="3"/>
        <v>816</v>
      </c>
      <c r="F133" s="46">
        <f t="shared" si="4"/>
        <v>818</v>
      </c>
      <c r="G133" s="46">
        <v>3</v>
      </c>
      <c r="H133" s="27" t="s">
        <v>220</v>
      </c>
      <c r="I133" s="46"/>
      <c r="J133" s="47" t="s">
        <v>32</v>
      </c>
      <c r="K133" s="47" t="s">
        <v>32</v>
      </c>
      <c r="L133" s="46" t="s">
        <v>32</v>
      </c>
      <c r="M133" s="46" t="s">
        <v>32</v>
      </c>
      <c r="N133" s="46" t="s">
        <v>32</v>
      </c>
      <c r="O133" s="27" t="s">
        <v>211</v>
      </c>
      <c r="P133" s="27" t="s">
        <v>411</v>
      </c>
    </row>
    <row r="134" spans="1:16" ht="30" customHeight="1" x14ac:dyDescent="0.4">
      <c r="A134" s="27" t="s">
        <v>221</v>
      </c>
      <c r="B134" s="27" t="s">
        <v>221</v>
      </c>
      <c r="C134" s="27" t="s">
        <v>219</v>
      </c>
      <c r="D134" s="46" t="s">
        <v>42</v>
      </c>
      <c r="E134" s="46">
        <f t="shared" si="3"/>
        <v>819</v>
      </c>
      <c r="F134" s="46">
        <f t="shared" si="4"/>
        <v>821</v>
      </c>
      <c r="G134" s="46">
        <v>3</v>
      </c>
      <c r="H134" s="27" t="s">
        <v>220</v>
      </c>
      <c r="I134" s="46"/>
      <c r="J134" s="47" t="s">
        <v>32</v>
      </c>
      <c r="K134" s="47" t="s">
        <v>32</v>
      </c>
      <c r="L134" s="46" t="s">
        <v>32</v>
      </c>
      <c r="M134" s="46" t="s">
        <v>32</v>
      </c>
      <c r="N134" s="46" t="s">
        <v>32</v>
      </c>
      <c r="O134" s="27" t="s">
        <v>211</v>
      </c>
      <c r="P134" s="27" t="s">
        <v>411</v>
      </c>
    </row>
    <row r="135" spans="1:16" ht="30" customHeight="1" x14ac:dyDescent="0.4">
      <c r="A135" s="27" t="s">
        <v>222</v>
      </c>
      <c r="B135" s="27" t="s">
        <v>222</v>
      </c>
      <c r="C135" s="27" t="s">
        <v>219</v>
      </c>
      <c r="D135" s="46" t="s">
        <v>42</v>
      </c>
      <c r="E135" s="46">
        <f t="shared" si="3"/>
        <v>822</v>
      </c>
      <c r="F135" s="46">
        <f t="shared" si="4"/>
        <v>824</v>
      </c>
      <c r="G135" s="46">
        <v>3</v>
      </c>
      <c r="H135" s="27" t="s">
        <v>220</v>
      </c>
      <c r="I135" s="46"/>
      <c r="J135" s="47" t="s">
        <v>32</v>
      </c>
      <c r="K135" s="47" t="s">
        <v>32</v>
      </c>
      <c r="L135" s="46" t="s">
        <v>32</v>
      </c>
      <c r="M135" s="46" t="s">
        <v>32</v>
      </c>
      <c r="N135" s="46" t="s">
        <v>32</v>
      </c>
      <c r="O135" s="27" t="s">
        <v>211</v>
      </c>
      <c r="P135" s="27" t="s">
        <v>411</v>
      </c>
    </row>
    <row r="136" spans="1:16" ht="30" customHeight="1" x14ac:dyDescent="0.4">
      <c r="A136" s="27" t="s">
        <v>223</v>
      </c>
      <c r="B136" s="27" t="s">
        <v>223</v>
      </c>
      <c r="C136" s="27" t="s">
        <v>219</v>
      </c>
      <c r="D136" s="46" t="s">
        <v>42</v>
      </c>
      <c r="E136" s="46">
        <f t="shared" si="3"/>
        <v>825</v>
      </c>
      <c r="F136" s="46">
        <f t="shared" si="4"/>
        <v>827</v>
      </c>
      <c r="G136" s="46">
        <v>3</v>
      </c>
      <c r="H136" s="27" t="s">
        <v>220</v>
      </c>
      <c r="I136" s="46"/>
      <c r="J136" s="47" t="s">
        <v>32</v>
      </c>
      <c r="K136" s="47" t="s">
        <v>32</v>
      </c>
      <c r="L136" s="46" t="s">
        <v>32</v>
      </c>
      <c r="M136" s="46" t="s">
        <v>32</v>
      </c>
      <c r="N136" s="46" t="s">
        <v>32</v>
      </c>
      <c r="O136" s="27" t="s">
        <v>211</v>
      </c>
      <c r="P136" s="27" t="s">
        <v>411</v>
      </c>
    </row>
    <row r="137" spans="1:16" ht="30" customHeight="1" x14ac:dyDescent="0.4">
      <c r="A137" s="27" t="s">
        <v>224</v>
      </c>
      <c r="B137" s="27" t="s">
        <v>224</v>
      </c>
      <c r="C137" s="27" t="s">
        <v>219</v>
      </c>
      <c r="D137" s="46" t="s">
        <v>42</v>
      </c>
      <c r="E137" s="46">
        <f t="shared" si="3"/>
        <v>828</v>
      </c>
      <c r="F137" s="46">
        <f t="shared" si="4"/>
        <v>830</v>
      </c>
      <c r="G137" s="46">
        <v>3</v>
      </c>
      <c r="H137" s="27" t="s">
        <v>220</v>
      </c>
      <c r="I137" s="46"/>
      <c r="J137" s="47" t="s">
        <v>32</v>
      </c>
      <c r="K137" s="47" t="s">
        <v>32</v>
      </c>
      <c r="L137" s="46" t="s">
        <v>32</v>
      </c>
      <c r="M137" s="46" t="s">
        <v>32</v>
      </c>
      <c r="N137" s="46" t="s">
        <v>32</v>
      </c>
      <c r="O137" s="27" t="s">
        <v>211</v>
      </c>
      <c r="P137" s="27" t="s">
        <v>411</v>
      </c>
    </row>
    <row r="138" spans="1:16" ht="30" customHeight="1" x14ac:dyDescent="0.4">
      <c r="A138" s="27" t="s">
        <v>225</v>
      </c>
      <c r="B138" s="27" t="s">
        <v>225</v>
      </c>
      <c r="C138" s="27" t="s">
        <v>219</v>
      </c>
      <c r="D138" s="46" t="s">
        <v>42</v>
      </c>
      <c r="E138" s="46">
        <f t="shared" si="3"/>
        <v>831</v>
      </c>
      <c r="F138" s="46">
        <f t="shared" si="4"/>
        <v>833</v>
      </c>
      <c r="G138" s="46">
        <v>3</v>
      </c>
      <c r="H138" s="27" t="s">
        <v>220</v>
      </c>
      <c r="I138" s="46"/>
      <c r="J138" s="47" t="s">
        <v>32</v>
      </c>
      <c r="K138" s="47" t="s">
        <v>32</v>
      </c>
      <c r="L138" s="46" t="s">
        <v>32</v>
      </c>
      <c r="M138" s="46" t="s">
        <v>32</v>
      </c>
      <c r="N138" s="46" t="s">
        <v>32</v>
      </c>
      <c r="O138" s="27" t="s">
        <v>211</v>
      </c>
      <c r="P138" s="27" t="s">
        <v>411</v>
      </c>
    </row>
    <row r="139" spans="1:16" ht="30" customHeight="1" x14ac:dyDescent="0.4">
      <c r="A139" s="27" t="s">
        <v>226</v>
      </c>
      <c r="B139" s="27" t="s">
        <v>226</v>
      </c>
      <c r="C139" s="27" t="s">
        <v>219</v>
      </c>
      <c r="D139" s="46" t="s">
        <v>42</v>
      </c>
      <c r="E139" s="46">
        <f t="shared" si="3"/>
        <v>834</v>
      </c>
      <c r="F139" s="46">
        <f t="shared" si="4"/>
        <v>836</v>
      </c>
      <c r="G139" s="46">
        <v>3</v>
      </c>
      <c r="H139" s="27" t="s">
        <v>220</v>
      </c>
      <c r="I139" s="46"/>
      <c r="J139" s="47" t="s">
        <v>32</v>
      </c>
      <c r="K139" s="47" t="s">
        <v>32</v>
      </c>
      <c r="L139" s="46" t="s">
        <v>32</v>
      </c>
      <c r="M139" s="46" t="s">
        <v>32</v>
      </c>
      <c r="N139" s="46" t="s">
        <v>32</v>
      </c>
      <c r="O139" s="27" t="s">
        <v>211</v>
      </c>
      <c r="P139" s="27" t="s">
        <v>411</v>
      </c>
    </row>
    <row r="140" spans="1:16" ht="30" customHeight="1" x14ac:dyDescent="0.4">
      <c r="A140" s="27" t="s">
        <v>227</v>
      </c>
      <c r="B140" s="27" t="s">
        <v>227</v>
      </c>
      <c r="C140" s="27" t="s">
        <v>219</v>
      </c>
      <c r="D140" s="46" t="s">
        <v>42</v>
      </c>
      <c r="E140" s="46">
        <f t="shared" si="3"/>
        <v>837</v>
      </c>
      <c r="F140" s="46">
        <f t="shared" si="4"/>
        <v>839</v>
      </c>
      <c r="G140" s="46">
        <v>3</v>
      </c>
      <c r="H140" s="27" t="s">
        <v>220</v>
      </c>
      <c r="I140" s="46"/>
      <c r="J140" s="47" t="s">
        <v>32</v>
      </c>
      <c r="K140" s="47" t="s">
        <v>32</v>
      </c>
      <c r="L140" s="46" t="s">
        <v>32</v>
      </c>
      <c r="M140" s="46" t="s">
        <v>32</v>
      </c>
      <c r="N140" s="46" t="s">
        <v>32</v>
      </c>
      <c r="O140" s="27" t="s">
        <v>211</v>
      </c>
      <c r="P140" s="27" t="s">
        <v>411</v>
      </c>
    </row>
    <row r="141" spans="1:16" ht="30" customHeight="1" x14ac:dyDescent="0.4">
      <c r="A141" s="27" t="s">
        <v>228</v>
      </c>
      <c r="B141" s="27" t="s">
        <v>228</v>
      </c>
      <c r="C141" s="27" t="s">
        <v>219</v>
      </c>
      <c r="D141" s="46" t="s">
        <v>42</v>
      </c>
      <c r="E141" s="46">
        <f t="shared" si="3"/>
        <v>840</v>
      </c>
      <c r="F141" s="46">
        <f t="shared" si="4"/>
        <v>842</v>
      </c>
      <c r="G141" s="46">
        <v>3</v>
      </c>
      <c r="H141" s="27" t="s">
        <v>220</v>
      </c>
      <c r="I141" s="46"/>
      <c r="J141" s="47" t="s">
        <v>32</v>
      </c>
      <c r="K141" s="47" t="s">
        <v>32</v>
      </c>
      <c r="L141" s="46" t="s">
        <v>32</v>
      </c>
      <c r="M141" s="46" t="s">
        <v>32</v>
      </c>
      <c r="N141" s="46" t="s">
        <v>32</v>
      </c>
      <c r="O141" s="27" t="s">
        <v>211</v>
      </c>
      <c r="P141" s="27" t="s">
        <v>411</v>
      </c>
    </row>
    <row r="142" spans="1:16" ht="30" customHeight="1" x14ac:dyDescent="0.4">
      <c r="A142" s="27" t="s">
        <v>229</v>
      </c>
      <c r="B142" s="27" t="s">
        <v>229</v>
      </c>
      <c r="C142" s="27" t="s">
        <v>219</v>
      </c>
      <c r="D142" s="46" t="s">
        <v>42</v>
      </c>
      <c r="E142" s="46">
        <f t="shared" ref="E142:E177" si="5">F141+1</f>
        <v>843</v>
      </c>
      <c r="F142" s="46">
        <f t="shared" si="4"/>
        <v>845</v>
      </c>
      <c r="G142" s="46">
        <v>3</v>
      </c>
      <c r="H142" s="27" t="s">
        <v>220</v>
      </c>
      <c r="I142" s="46"/>
      <c r="J142" s="47" t="s">
        <v>32</v>
      </c>
      <c r="K142" s="47" t="s">
        <v>32</v>
      </c>
      <c r="L142" s="46" t="s">
        <v>32</v>
      </c>
      <c r="M142" s="46" t="s">
        <v>32</v>
      </c>
      <c r="N142" s="46" t="s">
        <v>32</v>
      </c>
      <c r="O142" s="27" t="s">
        <v>211</v>
      </c>
      <c r="P142" s="27" t="s">
        <v>411</v>
      </c>
    </row>
    <row r="143" spans="1:16" ht="30" customHeight="1" x14ac:dyDescent="0.4">
      <c r="A143" s="27" t="s">
        <v>230</v>
      </c>
      <c r="B143" s="27" t="s">
        <v>230</v>
      </c>
      <c r="C143" s="27" t="s">
        <v>231</v>
      </c>
      <c r="D143" s="46" t="s">
        <v>42</v>
      </c>
      <c r="E143" s="46">
        <f t="shared" si="5"/>
        <v>846</v>
      </c>
      <c r="F143" s="46">
        <f t="shared" si="4"/>
        <v>846</v>
      </c>
      <c r="G143" s="46">
        <v>1</v>
      </c>
      <c r="H143" s="27" t="s">
        <v>205</v>
      </c>
      <c r="I143" s="46"/>
      <c r="J143" s="47" t="s">
        <v>32</v>
      </c>
      <c r="K143" s="47" t="s">
        <v>32</v>
      </c>
      <c r="L143" s="46" t="s">
        <v>32</v>
      </c>
      <c r="M143" s="46" t="s">
        <v>32</v>
      </c>
      <c r="N143" s="46" t="s">
        <v>32</v>
      </c>
      <c r="O143" s="27" t="s">
        <v>211</v>
      </c>
      <c r="P143" s="27" t="s">
        <v>411</v>
      </c>
    </row>
    <row r="144" spans="1:16" ht="30" customHeight="1" x14ac:dyDescent="0.4">
      <c r="A144" s="27" t="s">
        <v>232</v>
      </c>
      <c r="B144" s="27" t="s">
        <v>232</v>
      </c>
      <c r="C144" s="27" t="s">
        <v>233</v>
      </c>
      <c r="D144" s="46" t="s">
        <v>63</v>
      </c>
      <c r="E144" s="46">
        <f t="shared" si="5"/>
        <v>847</v>
      </c>
      <c r="F144" s="46">
        <f t="shared" si="4"/>
        <v>854</v>
      </c>
      <c r="G144" s="46">
        <v>8</v>
      </c>
      <c r="H144" s="27" t="s">
        <v>64</v>
      </c>
      <c r="I144" s="46"/>
      <c r="J144" s="47" t="s">
        <v>32</v>
      </c>
      <c r="K144" s="47" t="s">
        <v>32</v>
      </c>
      <c r="L144" s="46" t="s">
        <v>32</v>
      </c>
      <c r="M144" s="46" t="s">
        <v>32</v>
      </c>
      <c r="N144" s="46" t="s">
        <v>32</v>
      </c>
      <c r="O144" s="27" t="s">
        <v>211</v>
      </c>
      <c r="P144" s="27" t="s">
        <v>411</v>
      </c>
    </row>
    <row r="145" spans="1:16" ht="30" customHeight="1" x14ac:dyDescent="0.4">
      <c r="A145" s="27" t="s">
        <v>234</v>
      </c>
      <c r="B145" s="27" t="s">
        <v>234</v>
      </c>
      <c r="C145" s="27" t="s">
        <v>235</v>
      </c>
      <c r="D145" s="46" t="s">
        <v>67</v>
      </c>
      <c r="E145" s="46">
        <f t="shared" si="5"/>
        <v>855</v>
      </c>
      <c r="F145" s="46">
        <f t="shared" si="4"/>
        <v>862</v>
      </c>
      <c r="G145" s="46">
        <v>8</v>
      </c>
      <c r="H145" s="27" t="s">
        <v>64</v>
      </c>
      <c r="I145" s="46"/>
      <c r="J145" s="47" t="s">
        <v>32</v>
      </c>
      <c r="K145" s="47" t="s">
        <v>32</v>
      </c>
      <c r="L145" s="46" t="s">
        <v>32</v>
      </c>
      <c r="M145" s="46" t="s">
        <v>32</v>
      </c>
      <c r="N145" s="46" t="s">
        <v>32</v>
      </c>
      <c r="O145" s="27" t="s">
        <v>211</v>
      </c>
      <c r="P145" s="27" t="s">
        <v>411</v>
      </c>
    </row>
    <row r="146" spans="1:16" ht="30" customHeight="1" x14ac:dyDescent="0.4">
      <c r="A146" s="27" t="s">
        <v>170</v>
      </c>
      <c r="B146" s="27" t="s">
        <v>170</v>
      </c>
      <c r="C146" s="27" t="s">
        <v>171</v>
      </c>
      <c r="D146" s="46" t="s">
        <v>42</v>
      </c>
      <c r="E146" s="46">
        <f t="shared" si="5"/>
        <v>863</v>
      </c>
      <c r="F146" s="46">
        <f t="shared" si="4"/>
        <v>863</v>
      </c>
      <c r="G146" s="46">
        <v>1</v>
      </c>
      <c r="H146" s="27" t="s">
        <v>172</v>
      </c>
      <c r="I146" s="46"/>
      <c r="J146" s="47" t="s">
        <v>32</v>
      </c>
      <c r="K146" s="47" t="s">
        <v>32</v>
      </c>
      <c r="L146" s="46" t="s">
        <v>32</v>
      </c>
      <c r="M146" s="46" t="s">
        <v>32</v>
      </c>
      <c r="N146" s="46" t="s">
        <v>32</v>
      </c>
      <c r="O146" s="27" t="s">
        <v>211</v>
      </c>
      <c r="P146" s="27" t="s">
        <v>411</v>
      </c>
    </row>
    <row r="147" spans="1:16" ht="30" customHeight="1" x14ac:dyDescent="0.4">
      <c r="A147" s="27" t="s">
        <v>212</v>
      </c>
      <c r="B147" s="27" t="s">
        <v>212</v>
      </c>
      <c r="C147" s="27" t="s">
        <v>213</v>
      </c>
      <c r="D147" s="46" t="s">
        <v>42</v>
      </c>
      <c r="E147" s="46">
        <f t="shared" si="5"/>
        <v>864</v>
      </c>
      <c r="F147" s="46">
        <f t="shared" si="4"/>
        <v>873</v>
      </c>
      <c r="G147" s="46">
        <v>10</v>
      </c>
      <c r="H147" s="27" t="s">
        <v>214</v>
      </c>
      <c r="I147" s="46"/>
      <c r="J147" s="47" t="s">
        <v>32</v>
      </c>
      <c r="K147" s="47" t="s">
        <v>32</v>
      </c>
      <c r="L147" s="46" t="s">
        <v>32</v>
      </c>
      <c r="M147" s="46" t="s">
        <v>32</v>
      </c>
      <c r="N147" s="46" t="s">
        <v>32</v>
      </c>
      <c r="O147" s="27" t="s">
        <v>211</v>
      </c>
      <c r="P147" s="27" t="s">
        <v>411</v>
      </c>
    </row>
    <row r="148" spans="1:16" ht="30" customHeight="1" x14ac:dyDescent="0.4">
      <c r="A148" s="27" t="s">
        <v>215</v>
      </c>
      <c r="B148" s="27" t="s">
        <v>215</v>
      </c>
      <c r="C148" s="27" t="s">
        <v>216</v>
      </c>
      <c r="D148" s="46" t="s">
        <v>42</v>
      </c>
      <c r="E148" s="46">
        <f t="shared" si="5"/>
        <v>874</v>
      </c>
      <c r="F148" s="46">
        <f t="shared" si="4"/>
        <v>876</v>
      </c>
      <c r="G148" s="46">
        <v>3</v>
      </c>
      <c r="H148" s="27" t="s">
        <v>217</v>
      </c>
      <c r="I148" s="46"/>
      <c r="J148" s="47" t="s">
        <v>32</v>
      </c>
      <c r="K148" s="47" t="s">
        <v>32</v>
      </c>
      <c r="L148" s="46" t="s">
        <v>32</v>
      </c>
      <c r="M148" s="46" t="s">
        <v>32</v>
      </c>
      <c r="N148" s="46" t="s">
        <v>32</v>
      </c>
      <c r="O148" s="27" t="s">
        <v>211</v>
      </c>
      <c r="P148" s="27" t="s">
        <v>411</v>
      </c>
    </row>
    <row r="149" spans="1:16" ht="30" customHeight="1" x14ac:dyDescent="0.4">
      <c r="A149" s="27" t="s">
        <v>218</v>
      </c>
      <c r="B149" s="27" t="s">
        <v>218</v>
      </c>
      <c r="C149" s="27" t="s">
        <v>219</v>
      </c>
      <c r="D149" s="46" t="s">
        <v>42</v>
      </c>
      <c r="E149" s="46">
        <f t="shared" si="5"/>
        <v>877</v>
      </c>
      <c r="F149" s="46">
        <f t="shared" si="4"/>
        <v>879</v>
      </c>
      <c r="G149" s="46">
        <v>3</v>
      </c>
      <c r="H149" s="27" t="s">
        <v>220</v>
      </c>
      <c r="I149" s="46"/>
      <c r="J149" s="47" t="s">
        <v>32</v>
      </c>
      <c r="K149" s="47" t="s">
        <v>32</v>
      </c>
      <c r="L149" s="46" t="s">
        <v>32</v>
      </c>
      <c r="M149" s="46" t="s">
        <v>32</v>
      </c>
      <c r="N149" s="46" t="s">
        <v>32</v>
      </c>
      <c r="O149" s="27" t="s">
        <v>211</v>
      </c>
      <c r="P149" s="27" t="s">
        <v>411</v>
      </c>
    </row>
    <row r="150" spans="1:16" ht="30" customHeight="1" x14ac:dyDescent="0.4">
      <c r="A150" s="27" t="s">
        <v>221</v>
      </c>
      <c r="B150" s="27" t="s">
        <v>221</v>
      </c>
      <c r="C150" s="27" t="s">
        <v>219</v>
      </c>
      <c r="D150" s="46" t="s">
        <v>42</v>
      </c>
      <c r="E150" s="46">
        <f t="shared" si="5"/>
        <v>880</v>
      </c>
      <c r="F150" s="46">
        <f t="shared" si="4"/>
        <v>882</v>
      </c>
      <c r="G150" s="46">
        <v>3</v>
      </c>
      <c r="H150" s="27" t="s">
        <v>220</v>
      </c>
      <c r="I150" s="46"/>
      <c r="J150" s="47" t="s">
        <v>32</v>
      </c>
      <c r="K150" s="47" t="s">
        <v>32</v>
      </c>
      <c r="L150" s="46" t="s">
        <v>32</v>
      </c>
      <c r="M150" s="46" t="s">
        <v>32</v>
      </c>
      <c r="N150" s="46" t="s">
        <v>32</v>
      </c>
      <c r="O150" s="27" t="s">
        <v>211</v>
      </c>
      <c r="P150" s="27" t="s">
        <v>411</v>
      </c>
    </row>
    <row r="151" spans="1:16" ht="30" customHeight="1" x14ac:dyDescent="0.4">
      <c r="A151" s="27" t="s">
        <v>222</v>
      </c>
      <c r="B151" s="27" t="s">
        <v>222</v>
      </c>
      <c r="C151" s="27" t="s">
        <v>219</v>
      </c>
      <c r="D151" s="46" t="s">
        <v>42</v>
      </c>
      <c r="E151" s="46">
        <f t="shared" si="5"/>
        <v>883</v>
      </c>
      <c r="F151" s="46">
        <f t="shared" si="4"/>
        <v>885</v>
      </c>
      <c r="G151" s="46">
        <v>3</v>
      </c>
      <c r="H151" s="27" t="s">
        <v>220</v>
      </c>
      <c r="I151" s="46"/>
      <c r="J151" s="47" t="s">
        <v>32</v>
      </c>
      <c r="K151" s="47" t="s">
        <v>32</v>
      </c>
      <c r="L151" s="46" t="s">
        <v>32</v>
      </c>
      <c r="M151" s="46" t="s">
        <v>32</v>
      </c>
      <c r="N151" s="46" t="s">
        <v>32</v>
      </c>
      <c r="O151" s="27" t="s">
        <v>211</v>
      </c>
      <c r="P151" s="27" t="s">
        <v>411</v>
      </c>
    </row>
    <row r="152" spans="1:16" ht="30" customHeight="1" x14ac:dyDescent="0.4">
      <c r="A152" s="27" t="s">
        <v>223</v>
      </c>
      <c r="B152" s="27" t="s">
        <v>223</v>
      </c>
      <c r="C152" s="27" t="s">
        <v>219</v>
      </c>
      <c r="D152" s="46" t="s">
        <v>42</v>
      </c>
      <c r="E152" s="46">
        <f t="shared" si="5"/>
        <v>886</v>
      </c>
      <c r="F152" s="46">
        <f t="shared" si="4"/>
        <v>888</v>
      </c>
      <c r="G152" s="46">
        <v>3</v>
      </c>
      <c r="H152" s="27" t="s">
        <v>220</v>
      </c>
      <c r="I152" s="46"/>
      <c r="J152" s="47" t="s">
        <v>32</v>
      </c>
      <c r="K152" s="47" t="s">
        <v>32</v>
      </c>
      <c r="L152" s="46" t="s">
        <v>32</v>
      </c>
      <c r="M152" s="46" t="s">
        <v>32</v>
      </c>
      <c r="N152" s="46" t="s">
        <v>32</v>
      </c>
      <c r="O152" s="27" t="s">
        <v>211</v>
      </c>
      <c r="P152" s="27" t="s">
        <v>411</v>
      </c>
    </row>
    <row r="153" spans="1:16" ht="30" customHeight="1" x14ac:dyDescent="0.4">
      <c r="A153" s="27" t="s">
        <v>224</v>
      </c>
      <c r="B153" s="27" t="s">
        <v>224</v>
      </c>
      <c r="C153" s="27" t="s">
        <v>219</v>
      </c>
      <c r="D153" s="46" t="s">
        <v>42</v>
      </c>
      <c r="E153" s="46">
        <f t="shared" si="5"/>
        <v>889</v>
      </c>
      <c r="F153" s="46">
        <f t="shared" si="4"/>
        <v>891</v>
      </c>
      <c r="G153" s="46">
        <v>3</v>
      </c>
      <c r="H153" s="27" t="s">
        <v>220</v>
      </c>
      <c r="I153" s="46"/>
      <c r="J153" s="47" t="s">
        <v>32</v>
      </c>
      <c r="K153" s="47" t="s">
        <v>32</v>
      </c>
      <c r="L153" s="46" t="s">
        <v>32</v>
      </c>
      <c r="M153" s="46" t="s">
        <v>32</v>
      </c>
      <c r="N153" s="46" t="s">
        <v>32</v>
      </c>
      <c r="O153" s="27" t="s">
        <v>211</v>
      </c>
      <c r="P153" s="27" t="s">
        <v>411</v>
      </c>
    </row>
    <row r="154" spans="1:16" ht="30" customHeight="1" x14ac:dyDescent="0.4">
      <c r="A154" s="27" t="s">
        <v>225</v>
      </c>
      <c r="B154" s="27" t="s">
        <v>225</v>
      </c>
      <c r="C154" s="27" t="s">
        <v>219</v>
      </c>
      <c r="D154" s="46" t="s">
        <v>42</v>
      </c>
      <c r="E154" s="46">
        <f t="shared" si="5"/>
        <v>892</v>
      </c>
      <c r="F154" s="46">
        <f t="shared" si="4"/>
        <v>894</v>
      </c>
      <c r="G154" s="46">
        <v>3</v>
      </c>
      <c r="H154" s="27" t="s">
        <v>220</v>
      </c>
      <c r="I154" s="46"/>
      <c r="J154" s="47" t="s">
        <v>32</v>
      </c>
      <c r="K154" s="47" t="s">
        <v>32</v>
      </c>
      <c r="L154" s="46" t="s">
        <v>32</v>
      </c>
      <c r="M154" s="46" t="s">
        <v>32</v>
      </c>
      <c r="N154" s="46" t="s">
        <v>32</v>
      </c>
      <c r="O154" s="27" t="s">
        <v>211</v>
      </c>
      <c r="P154" s="27" t="s">
        <v>411</v>
      </c>
    </row>
    <row r="155" spans="1:16" ht="30" customHeight="1" x14ac:dyDescent="0.4">
      <c r="A155" s="27" t="s">
        <v>226</v>
      </c>
      <c r="B155" s="27" t="s">
        <v>226</v>
      </c>
      <c r="C155" s="27" t="s">
        <v>219</v>
      </c>
      <c r="D155" s="46" t="s">
        <v>42</v>
      </c>
      <c r="E155" s="46">
        <f t="shared" si="5"/>
        <v>895</v>
      </c>
      <c r="F155" s="46">
        <f t="shared" si="4"/>
        <v>897</v>
      </c>
      <c r="G155" s="46">
        <v>3</v>
      </c>
      <c r="H155" s="27" t="s">
        <v>220</v>
      </c>
      <c r="I155" s="46"/>
      <c r="J155" s="47" t="s">
        <v>32</v>
      </c>
      <c r="K155" s="47" t="s">
        <v>32</v>
      </c>
      <c r="L155" s="46" t="s">
        <v>32</v>
      </c>
      <c r="M155" s="46" t="s">
        <v>32</v>
      </c>
      <c r="N155" s="46" t="s">
        <v>32</v>
      </c>
      <c r="O155" s="27" t="s">
        <v>211</v>
      </c>
      <c r="P155" s="27" t="s">
        <v>411</v>
      </c>
    </row>
    <row r="156" spans="1:16" ht="30" customHeight="1" x14ac:dyDescent="0.4">
      <c r="A156" s="27" t="s">
        <v>227</v>
      </c>
      <c r="B156" s="27" t="s">
        <v>227</v>
      </c>
      <c r="C156" s="27" t="s">
        <v>219</v>
      </c>
      <c r="D156" s="46" t="s">
        <v>42</v>
      </c>
      <c r="E156" s="46">
        <f t="shared" si="5"/>
        <v>898</v>
      </c>
      <c r="F156" s="46">
        <f t="shared" si="4"/>
        <v>900</v>
      </c>
      <c r="G156" s="46">
        <v>3</v>
      </c>
      <c r="H156" s="27" t="s">
        <v>220</v>
      </c>
      <c r="I156" s="46"/>
      <c r="J156" s="47" t="s">
        <v>32</v>
      </c>
      <c r="K156" s="47" t="s">
        <v>32</v>
      </c>
      <c r="L156" s="46" t="s">
        <v>32</v>
      </c>
      <c r="M156" s="46" t="s">
        <v>32</v>
      </c>
      <c r="N156" s="46" t="s">
        <v>32</v>
      </c>
      <c r="O156" s="27" t="s">
        <v>211</v>
      </c>
      <c r="P156" s="27" t="s">
        <v>411</v>
      </c>
    </row>
    <row r="157" spans="1:16" ht="30" customHeight="1" x14ac:dyDescent="0.4">
      <c r="A157" s="27" t="s">
        <v>228</v>
      </c>
      <c r="B157" s="27" t="s">
        <v>228</v>
      </c>
      <c r="C157" s="27" t="s">
        <v>219</v>
      </c>
      <c r="D157" s="46" t="s">
        <v>42</v>
      </c>
      <c r="E157" s="46">
        <f t="shared" si="5"/>
        <v>901</v>
      </c>
      <c r="F157" s="46">
        <f t="shared" si="4"/>
        <v>903</v>
      </c>
      <c r="G157" s="46">
        <v>3</v>
      </c>
      <c r="H157" s="27" t="s">
        <v>220</v>
      </c>
      <c r="I157" s="46"/>
      <c r="J157" s="47" t="s">
        <v>32</v>
      </c>
      <c r="K157" s="47" t="s">
        <v>32</v>
      </c>
      <c r="L157" s="46" t="s">
        <v>32</v>
      </c>
      <c r="M157" s="46" t="s">
        <v>32</v>
      </c>
      <c r="N157" s="46" t="s">
        <v>32</v>
      </c>
      <c r="O157" s="27" t="s">
        <v>211</v>
      </c>
      <c r="P157" s="27" t="s">
        <v>411</v>
      </c>
    </row>
    <row r="158" spans="1:16" ht="30" customHeight="1" x14ac:dyDescent="0.4">
      <c r="A158" s="27" t="s">
        <v>229</v>
      </c>
      <c r="B158" s="27" t="s">
        <v>229</v>
      </c>
      <c r="C158" s="27" t="s">
        <v>219</v>
      </c>
      <c r="D158" s="46" t="s">
        <v>42</v>
      </c>
      <c r="E158" s="46">
        <f t="shared" si="5"/>
        <v>904</v>
      </c>
      <c r="F158" s="46">
        <f t="shared" si="4"/>
        <v>906</v>
      </c>
      <c r="G158" s="46">
        <v>3</v>
      </c>
      <c r="H158" s="27" t="s">
        <v>220</v>
      </c>
      <c r="I158" s="46"/>
      <c r="J158" s="47" t="s">
        <v>32</v>
      </c>
      <c r="K158" s="47" t="s">
        <v>32</v>
      </c>
      <c r="L158" s="46" t="s">
        <v>32</v>
      </c>
      <c r="M158" s="46" t="s">
        <v>32</v>
      </c>
      <c r="N158" s="46" t="s">
        <v>32</v>
      </c>
      <c r="O158" s="27" t="s">
        <v>211</v>
      </c>
      <c r="P158" s="27" t="s">
        <v>411</v>
      </c>
    </row>
    <row r="159" spans="1:16" ht="30" customHeight="1" x14ac:dyDescent="0.4">
      <c r="A159" s="27" t="s">
        <v>230</v>
      </c>
      <c r="B159" s="27" t="s">
        <v>230</v>
      </c>
      <c r="C159" s="27" t="s">
        <v>231</v>
      </c>
      <c r="D159" s="46" t="s">
        <v>42</v>
      </c>
      <c r="E159" s="46">
        <f t="shared" si="5"/>
        <v>907</v>
      </c>
      <c r="F159" s="46">
        <f t="shared" si="4"/>
        <v>907</v>
      </c>
      <c r="G159" s="46">
        <v>1</v>
      </c>
      <c r="H159" s="27" t="s">
        <v>205</v>
      </c>
      <c r="I159" s="46"/>
      <c r="J159" s="47" t="s">
        <v>32</v>
      </c>
      <c r="K159" s="47" t="s">
        <v>32</v>
      </c>
      <c r="L159" s="46" t="s">
        <v>32</v>
      </c>
      <c r="M159" s="46" t="s">
        <v>32</v>
      </c>
      <c r="N159" s="46" t="s">
        <v>32</v>
      </c>
      <c r="O159" s="27" t="s">
        <v>211</v>
      </c>
      <c r="P159" s="27" t="s">
        <v>411</v>
      </c>
    </row>
    <row r="160" spans="1:16" ht="30" customHeight="1" x14ac:dyDescent="0.4">
      <c r="A160" s="27" t="s">
        <v>232</v>
      </c>
      <c r="B160" s="27" t="s">
        <v>232</v>
      </c>
      <c r="C160" s="27" t="s">
        <v>233</v>
      </c>
      <c r="D160" s="46" t="s">
        <v>63</v>
      </c>
      <c r="E160" s="46">
        <f t="shared" si="5"/>
        <v>908</v>
      </c>
      <c r="F160" s="46">
        <f t="shared" si="4"/>
        <v>915</v>
      </c>
      <c r="G160" s="46">
        <v>8</v>
      </c>
      <c r="H160" s="27" t="s">
        <v>64</v>
      </c>
      <c r="I160" s="46"/>
      <c r="J160" s="47" t="s">
        <v>32</v>
      </c>
      <c r="K160" s="47" t="s">
        <v>32</v>
      </c>
      <c r="L160" s="46" t="s">
        <v>32</v>
      </c>
      <c r="M160" s="46" t="s">
        <v>32</v>
      </c>
      <c r="N160" s="46" t="s">
        <v>32</v>
      </c>
      <c r="O160" s="27" t="s">
        <v>211</v>
      </c>
      <c r="P160" s="27" t="s">
        <v>411</v>
      </c>
    </row>
    <row r="161" spans="1:16" ht="30" customHeight="1" x14ac:dyDescent="0.4">
      <c r="A161" s="27" t="s">
        <v>234</v>
      </c>
      <c r="B161" s="27" t="s">
        <v>234</v>
      </c>
      <c r="C161" s="27" t="s">
        <v>235</v>
      </c>
      <c r="D161" s="46" t="s">
        <v>67</v>
      </c>
      <c r="E161" s="46">
        <f t="shared" si="5"/>
        <v>916</v>
      </c>
      <c r="F161" s="46">
        <f t="shared" si="4"/>
        <v>923</v>
      </c>
      <c r="G161" s="46">
        <v>8</v>
      </c>
      <c r="H161" s="27" t="s">
        <v>64</v>
      </c>
      <c r="I161" s="46"/>
      <c r="J161" s="47" t="s">
        <v>32</v>
      </c>
      <c r="K161" s="47" t="s">
        <v>32</v>
      </c>
      <c r="L161" s="46" t="s">
        <v>32</v>
      </c>
      <c r="M161" s="46" t="s">
        <v>32</v>
      </c>
      <c r="N161" s="46" t="s">
        <v>32</v>
      </c>
      <c r="O161" s="27" t="s">
        <v>211</v>
      </c>
      <c r="P161" s="27" t="s">
        <v>411</v>
      </c>
    </row>
    <row r="162" spans="1:16" ht="30" customHeight="1" x14ac:dyDescent="0.4">
      <c r="A162" s="27" t="s">
        <v>170</v>
      </c>
      <c r="B162" s="27" t="s">
        <v>170</v>
      </c>
      <c r="C162" s="27" t="s">
        <v>171</v>
      </c>
      <c r="D162" s="46" t="s">
        <v>42</v>
      </c>
      <c r="E162" s="46">
        <f t="shared" si="5"/>
        <v>924</v>
      </c>
      <c r="F162" s="46">
        <f t="shared" si="4"/>
        <v>924</v>
      </c>
      <c r="G162" s="46">
        <v>1</v>
      </c>
      <c r="H162" s="27" t="s">
        <v>172</v>
      </c>
      <c r="I162" s="46"/>
      <c r="J162" s="47" t="s">
        <v>32</v>
      </c>
      <c r="K162" s="47" t="s">
        <v>32</v>
      </c>
      <c r="L162" s="46" t="s">
        <v>32</v>
      </c>
      <c r="M162" s="46" t="s">
        <v>32</v>
      </c>
      <c r="N162" s="46" t="s">
        <v>32</v>
      </c>
      <c r="O162" s="27" t="s">
        <v>211</v>
      </c>
      <c r="P162" s="27" t="s">
        <v>411</v>
      </c>
    </row>
    <row r="163" spans="1:16" ht="30" customHeight="1" x14ac:dyDescent="0.4">
      <c r="A163" s="27" t="s">
        <v>212</v>
      </c>
      <c r="B163" s="27" t="s">
        <v>212</v>
      </c>
      <c r="C163" s="27" t="s">
        <v>213</v>
      </c>
      <c r="D163" s="46" t="s">
        <v>42</v>
      </c>
      <c r="E163" s="46">
        <f t="shared" si="5"/>
        <v>925</v>
      </c>
      <c r="F163" s="46">
        <f t="shared" si="4"/>
        <v>934</v>
      </c>
      <c r="G163" s="46">
        <v>10</v>
      </c>
      <c r="H163" s="27" t="s">
        <v>214</v>
      </c>
      <c r="I163" s="46"/>
      <c r="J163" s="47" t="s">
        <v>32</v>
      </c>
      <c r="K163" s="47" t="s">
        <v>32</v>
      </c>
      <c r="L163" s="46" t="s">
        <v>32</v>
      </c>
      <c r="M163" s="46" t="s">
        <v>32</v>
      </c>
      <c r="N163" s="46" t="s">
        <v>32</v>
      </c>
      <c r="O163" s="27" t="s">
        <v>211</v>
      </c>
      <c r="P163" s="27" t="s">
        <v>411</v>
      </c>
    </row>
    <row r="164" spans="1:16" ht="30" customHeight="1" x14ac:dyDescent="0.4">
      <c r="A164" s="27" t="s">
        <v>215</v>
      </c>
      <c r="B164" s="27" t="s">
        <v>215</v>
      </c>
      <c r="C164" s="27" t="s">
        <v>216</v>
      </c>
      <c r="D164" s="46" t="s">
        <v>42</v>
      </c>
      <c r="E164" s="46">
        <f t="shared" si="5"/>
        <v>935</v>
      </c>
      <c r="F164" s="46">
        <f t="shared" si="4"/>
        <v>937</v>
      </c>
      <c r="G164" s="46">
        <v>3</v>
      </c>
      <c r="H164" s="27" t="s">
        <v>217</v>
      </c>
      <c r="I164" s="46"/>
      <c r="J164" s="47" t="s">
        <v>32</v>
      </c>
      <c r="K164" s="47" t="s">
        <v>32</v>
      </c>
      <c r="L164" s="46" t="s">
        <v>32</v>
      </c>
      <c r="M164" s="46" t="s">
        <v>32</v>
      </c>
      <c r="N164" s="46" t="s">
        <v>32</v>
      </c>
      <c r="O164" s="27" t="s">
        <v>211</v>
      </c>
      <c r="P164" s="27" t="s">
        <v>411</v>
      </c>
    </row>
    <row r="165" spans="1:16" ht="30" customHeight="1" x14ac:dyDescent="0.4">
      <c r="A165" s="27" t="s">
        <v>218</v>
      </c>
      <c r="B165" s="27" t="s">
        <v>218</v>
      </c>
      <c r="C165" s="27" t="s">
        <v>219</v>
      </c>
      <c r="D165" s="46" t="s">
        <v>42</v>
      </c>
      <c r="E165" s="46">
        <f t="shared" si="5"/>
        <v>938</v>
      </c>
      <c r="F165" s="46">
        <f t="shared" si="4"/>
        <v>940</v>
      </c>
      <c r="G165" s="46">
        <v>3</v>
      </c>
      <c r="H165" s="27" t="s">
        <v>220</v>
      </c>
      <c r="I165" s="46"/>
      <c r="J165" s="47" t="s">
        <v>32</v>
      </c>
      <c r="K165" s="47" t="s">
        <v>32</v>
      </c>
      <c r="L165" s="46" t="s">
        <v>32</v>
      </c>
      <c r="M165" s="46" t="s">
        <v>32</v>
      </c>
      <c r="N165" s="46" t="s">
        <v>32</v>
      </c>
      <c r="O165" s="27" t="s">
        <v>211</v>
      </c>
      <c r="P165" s="27" t="s">
        <v>411</v>
      </c>
    </row>
    <row r="166" spans="1:16" ht="30" customHeight="1" x14ac:dyDescent="0.4">
      <c r="A166" s="27" t="s">
        <v>221</v>
      </c>
      <c r="B166" s="27" t="s">
        <v>221</v>
      </c>
      <c r="C166" s="27" t="s">
        <v>219</v>
      </c>
      <c r="D166" s="46" t="s">
        <v>42</v>
      </c>
      <c r="E166" s="46">
        <f t="shared" si="5"/>
        <v>941</v>
      </c>
      <c r="F166" s="46">
        <f t="shared" si="4"/>
        <v>943</v>
      </c>
      <c r="G166" s="46">
        <v>3</v>
      </c>
      <c r="H166" s="27" t="s">
        <v>220</v>
      </c>
      <c r="I166" s="46"/>
      <c r="J166" s="47" t="s">
        <v>32</v>
      </c>
      <c r="K166" s="47" t="s">
        <v>32</v>
      </c>
      <c r="L166" s="46" t="s">
        <v>32</v>
      </c>
      <c r="M166" s="46" t="s">
        <v>32</v>
      </c>
      <c r="N166" s="46" t="s">
        <v>32</v>
      </c>
      <c r="O166" s="27" t="s">
        <v>211</v>
      </c>
      <c r="P166" s="27" t="s">
        <v>411</v>
      </c>
    </row>
    <row r="167" spans="1:16" ht="30" customHeight="1" x14ac:dyDescent="0.4">
      <c r="A167" s="27" t="s">
        <v>222</v>
      </c>
      <c r="B167" s="27" t="s">
        <v>222</v>
      </c>
      <c r="C167" s="27" t="s">
        <v>219</v>
      </c>
      <c r="D167" s="46" t="s">
        <v>42</v>
      </c>
      <c r="E167" s="46">
        <f t="shared" si="5"/>
        <v>944</v>
      </c>
      <c r="F167" s="46">
        <f t="shared" si="4"/>
        <v>946</v>
      </c>
      <c r="G167" s="46">
        <v>3</v>
      </c>
      <c r="H167" s="27" t="s">
        <v>220</v>
      </c>
      <c r="I167" s="46"/>
      <c r="J167" s="47" t="s">
        <v>32</v>
      </c>
      <c r="K167" s="47" t="s">
        <v>32</v>
      </c>
      <c r="L167" s="46" t="s">
        <v>32</v>
      </c>
      <c r="M167" s="46" t="s">
        <v>32</v>
      </c>
      <c r="N167" s="46" t="s">
        <v>32</v>
      </c>
      <c r="O167" s="27" t="s">
        <v>211</v>
      </c>
      <c r="P167" s="27" t="s">
        <v>411</v>
      </c>
    </row>
    <row r="168" spans="1:16" ht="30" customHeight="1" x14ac:dyDescent="0.4">
      <c r="A168" s="27" t="s">
        <v>223</v>
      </c>
      <c r="B168" s="27" t="s">
        <v>223</v>
      </c>
      <c r="C168" s="27" t="s">
        <v>219</v>
      </c>
      <c r="D168" s="46" t="s">
        <v>42</v>
      </c>
      <c r="E168" s="46">
        <f t="shared" si="5"/>
        <v>947</v>
      </c>
      <c r="F168" s="46">
        <f t="shared" si="4"/>
        <v>949</v>
      </c>
      <c r="G168" s="46">
        <v>3</v>
      </c>
      <c r="H168" s="27" t="s">
        <v>220</v>
      </c>
      <c r="I168" s="46"/>
      <c r="J168" s="47" t="s">
        <v>32</v>
      </c>
      <c r="K168" s="47" t="s">
        <v>32</v>
      </c>
      <c r="L168" s="46" t="s">
        <v>32</v>
      </c>
      <c r="M168" s="46" t="s">
        <v>32</v>
      </c>
      <c r="N168" s="46" t="s">
        <v>32</v>
      </c>
      <c r="O168" s="27" t="s">
        <v>211</v>
      </c>
      <c r="P168" s="27" t="s">
        <v>411</v>
      </c>
    </row>
    <row r="169" spans="1:16" ht="30" customHeight="1" x14ac:dyDescent="0.4">
      <c r="A169" s="27" t="s">
        <v>224</v>
      </c>
      <c r="B169" s="27" t="s">
        <v>224</v>
      </c>
      <c r="C169" s="27" t="s">
        <v>219</v>
      </c>
      <c r="D169" s="46" t="s">
        <v>42</v>
      </c>
      <c r="E169" s="46">
        <f t="shared" si="5"/>
        <v>950</v>
      </c>
      <c r="F169" s="46">
        <f t="shared" si="4"/>
        <v>952</v>
      </c>
      <c r="G169" s="46">
        <v>3</v>
      </c>
      <c r="H169" s="27" t="s">
        <v>220</v>
      </c>
      <c r="I169" s="46"/>
      <c r="J169" s="47" t="s">
        <v>32</v>
      </c>
      <c r="K169" s="47" t="s">
        <v>32</v>
      </c>
      <c r="L169" s="46" t="s">
        <v>32</v>
      </c>
      <c r="M169" s="46" t="s">
        <v>32</v>
      </c>
      <c r="N169" s="46" t="s">
        <v>32</v>
      </c>
      <c r="O169" s="27" t="s">
        <v>211</v>
      </c>
      <c r="P169" s="27" t="s">
        <v>411</v>
      </c>
    </row>
    <row r="170" spans="1:16" ht="30" customHeight="1" x14ac:dyDescent="0.4">
      <c r="A170" s="27" t="s">
        <v>225</v>
      </c>
      <c r="B170" s="27" t="s">
        <v>225</v>
      </c>
      <c r="C170" s="27" t="s">
        <v>219</v>
      </c>
      <c r="D170" s="46" t="s">
        <v>42</v>
      </c>
      <c r="E170" s="46">
        <f t="shared" si="5"/>
        <v>953</v>
      </c>
      <c r="F170" s="46">
        <f t="shared" si="4"/>
        <v>955</v>
      </c>
      <c r="G170" s="46">
        <v>3</v>
      </c>
      <c r="H170" s="27" t="s">
        <v>220</v>
      </c>
      <c r="I170" s="46"/>
      <c r="J170" s="47" t="s">
        <v>32</v>
      </c>
      <c r="K170" s="47" t="s">
        <v>32</v>
      </c>
      <c r="L170" s="46" t="s">
        <v>32</v>
      </c>
      <c r="M170" s="46" t="s">
        <v>32</v>
      </c>
      <c r="N170" s="46" t="s">
        <v>32</v>
      </c>
      <c r="O170" s="27" t="s">
        <v>211</v>
      </c>
      <c r="P170" s="27" t="s">
        <v>411</v>
      </c>
    </row>
    <row r="171" spans="1:16" ht="30" customHeight="1" x14ac:dyDescent="0.4">
      <c r="A171" s="27" t="s">
        <v>226</v>
      </c>
      <c r="B171" s="27" t="s">
        <v>226</v>
      </c>
      <c r="C171" s="27" t="s">
        <v>219</v>
      </c>
      <c r="D171" s="46" t="s">
        <v>42</v>
      </c>
      <c r="E171" s="46">
        <f t="shared" si="5"/>
        <v>956</v>
      </c>
      <c r="F171" s="46">
        <f t="shared" si="4"/>
        <v>958</v>
      </c>
      <c r="G171" s="46">
        <v>3</v>
      </c>
      <c r="H171" s="27" t="s">
        <v>220</v>
      </c>
      <c r="I171" s="46"/>
      <c r="J171" s="47" t="s">
        <v>32</v>
      </c>
      <c r="K171" s="47" t="s">
        <v>32</v>
      </c>
      <c r="L171" s="46" t="s">
        <v>32</v>
      </c>
      <c r="M171" s="46" t="s">
        <v>32</v>
      </c>
      <c r="N171" s="46" t="s">
        <v>32</v>
      </c>
      <c r="O171" s="27" t="s">
        <v>211</v>
      </c>
      <c r="P171" s="27" t="s">
        <v>411</v>
      </c>
    </row>
    <row r="172" spans="1:16" ht="30" customHeight="1" x14ac:dyDescent="0.4">
      <c r="A172" s="27" t="s">
        <v>227</v>
      </c>
      <c r="B172" s="27" t="s">
        <v>227</v>
      </c>
      <c r="C172" s="27" t="s">
        <v>219</v>
      </c>
      <c r="D172" s="46" t="s">
        <v>42</v>
      </c>
      <c r="E172" s="46">
        <f t="shared" si="5"/>
        <v>959</v>
      </c>
      <c r="F172" s="46">
        <f t="shared" si="4"/>
        <v>961</v>
      </c>
      <c r="G172" s="46">
        <v>3</v>
      </c>
      <c r="H172" s="27" t="s">
        <v>220</v>
      </c>
      <c r="I172" s="46"/>
      <c r="J172" s="47" t="s">
        <v>32</v>
      </c>
      <c r="K172" s="47" t="s">
        <v>32</v>
      </c>
      <c r="L172" s="46" t="s">
        <v>32</v>
      </c>
      <c r="M172" s="46" t="s">
        <v>32</v>
      </c>
      <c r="N172" s="46" t="s">
        <v>32</v>
      </c>
      <c r="O172" s="27" t="s">
        <v>211</v>
      </c>
      <c r="P172" s="27" t="s">
        <v>411</v>
      </c>
    </row>
    <row r="173" spans="1:16" ht="30" customHeight="1" x14ac:dyDescent="0.4">
      <c r="A173" s="27" t="s">
        <v>228</v>
      </c>
      <c r="B173" s="27" t="s">
        <v>228</v>
      </c>
      <c r="C173" s="27" t="s">
        <v>219</v>
      </c>
      <c r="D173" s="46" t="s">
        <v>42</v>
      </c>
      <c r="E173" s="46">
        <f t="shared" si="5"/>
        <v>962</v>
      </c>
      <c r="F173" s="46">
        <f t="shared" si="4"/>
        <v>964</v>
      </c>
      <c r="G173" s="46">
        <v>3</v>
      </c>
      <c r="H173" s="27" t="s">
        <v>220</v>
      </c>
      <c r="I173" s="46"/>
      <c r="J173" s="47" t="s">
        <v>32</v>
      </c>
      <c r="K173" s="47" t="s">
        <v>32</v>
      </c>
      <c r="L173" s="46" t="s">
        <v>32</v>
      </c>
      <c r="M173" s="46" t="s">
        <v>32</v>
      </c>
      <c r="N173" s="46" t="s">
        <v>32</v>
      </c>
      <c r="O173" s="27" t="s">
        <v>211</v>
      </c>
      <c r="P173" s="27" t="s">
        <v>411</v>
      </c>
    </row>
    <row r="174" spans="1:16" ht="30" customHeight="1" x14ac:dyDescent="0.4">
      <c r="A174" s="27" t="s">
        <v>229</v>
      </c>
      <c r="B174" s="27" t="s">
        <v>229</v>
      </c>
      <c r="C174" s="27" t="s">
        <v>219</v>
      </c>
      <c r="D174" s="46" t="s">
        <v>42</v>
      </c>
      <c r="E174" s="46">
        <f t="shared" si="5"/>
        <v>965</v>
      </c>
      <c r="F174" s="46">
        <f t="shared" si="4"/>
        <v>967</v>
      </c>
      <c r="G174" s="46">
        <v>3</v>
      </c>
      <c r="H174" s="27" t="s">
        <v>220</v>
      </c>
      <c r="I174" s="46"/>
      <c r="J174" s="47" t="s">
        <v>32</v>
      </c>
      <c r="K174" s="47" t="s">
        <v>32</v>
      </c>
      <c r="L174" s="46" t="s">
        <v>32</v>
      </c>
      <c r="M174" s="46" t="s">
        <v>32</v>
      </c>
      <c r="N174" s="46" t="s">
        <v>32</v>
      </c>
      <c r="O174" s="27" t="s">
        <v>211</v>
      </c>
      <c r="P174" s="27" t="s">
        <v>411</v>
      </c>
    </row>
    <row r="175" spans="1:16" ht="30" customHeight="1" x14ac:dyDescent="0.4">
      <c r="A175" s="27" t="s">
        <v>230</v>
      </c>
      <c r="B175" s="27" t="s">
        <v>230</v>
      </c>
      <c r="C175" s="27" t="s">
        <v>231</v>
      </c>
      <c r="D175" s="46" t="s">
        <v>42</v>
      </c>
      <c r="E175" s="46">
        <f t="shared" si="5"/>
        <v>968</v>
      </c>
      <c r="F175" s="46">
        <f t="shared" si="4"/>
        <v>968</v>
      </c>
      <c r="G175" s="46">
        <v>1</v>
      </c>
      <c r="H175" s="27" t="s">
        <v>205</v>
      </c>
      <c r="I175" s="46"/>
      <c r="J175" s="47" t="s">
        <v>32</v>
      </c>
      <c r="K175" s="47" t="s">
        <v>32</v>
      </c>
      <c r="L175" s="46" t="s">
        <v>32</v>
      </c>
      <c r="M175" s="46" t="s">
        <v>32</v>
      </c>
      <c r="N175" s="46" t="s">
        <v>32</v>
      </c>
      <c r="O175" s="27" t="s">
        <v>211</v>
      </c>
      <c r="P175" s="27" t="s">
        <v>411</v>
      </c>
    </row>
    <row r="176" spans="1:16" ht="30" customHeight="1" x14ac:dyDescent="0.4">
      <c r="A176" s="27" t="s">
        <v>232</v>
      </c>
      <c r="B176" s="27" t="s">
        <v>232</v>
      </c>
      <c r="C176" s="27" t="s">
        <v>233</v>
      </c>
      <c r="D176" s="46" t="s">
        <v>63</v>
      </c>
      <c r="E176" s="46">
        <f t="shared" si="5"/>
        <v>969</v>
      </c>
      <c r="F176" s="46">
        <f t="shared" ref="F176" si="6">F175+G176</f>
        <v>976</v>
      </c>
      <c r="G176" s="46">
        <v>8</v>
      </c>
      <c r="H176" s="27" t="s">
        <v>64</v>
      </c>
      <c r="I176" s="46"/>
      <c r="J176" s="47" t="s">
        <v>32</v>
      </c>
      <c r="K176" s="47" t="s">
        <v>32</v>
      </c>
      <c r="L176" s="46" t="s">
        <v>32</v>
      </c>
      <c r="M176" s="46" t="s">
        <v>32</v>
      </c>
      <c r="N176" s="46" t="s">
        <v>32</v>
      </c>
      <c r="O176" s="27" t="s">
        <v>211</v>
      </c>
      <c r="P176" s="27" t="s">
        <v>411</v>
      </c>
    </row>
    <row r="177" spans="1:16" ht="30" customHeight="1" x14ac:dyDescent="0.4">
      <c r="A177" s="27" t="s">
        <v>234</v>
      </c>
      <c r="B177" s="27" t="s">
        <v>234</v>
      </c>
      <c r="C177" s="27" t="s">
        <v>235</v>
      </c>
      <c r="D177" s="46" t="s">
        <v>67</v>
      </c>
      <c r="E177" s="46">
        <f t="shared" si="5"/>
        <v>977</v>
      </c>
      <c r="F177" s="46">
        <f>F176+G177</f>
        <v>984</v>
      </c>
      <c r="G177" s="46">
        <v>8</v>
      </c>
      <c r="H177" s="27" t="s">
        <v>64</v>
      </c>
      <c r="I177" s="46"/>
      <c r="J177" s="47" t="s">
        <v>32</v>
      </c>
      <c r="K177" s="47" t="s">
        <v>32</v>
      </c>
      <c r="L177" s="46" t="s">
        <v>32</v>
      </c>
      <c r="M177" s="46" t="s">
        <v>32</v>
      </c>
      <c r="N177" s="46" t="s">
        <v>32</v>
      </c>
      <c r="O177" s="27" t="s">
        <v>211</v>
      </c>
      <c r="P177" s="27" t="s">
        <v>411</v>
      </c>
    </row>
    <row r="178" spans="1:16" s="11" customFormat="1" x14ac:dyDescent="0.4">
      <c r="A178" s="48" t="s">
        <v>236</v>
      </c>
      <c r="B178" s="48"/>
      <c r="C178" s="49"/>
      <c r="D178" s="51"/>
      <c r="E178" s="50"/>
      <c r="F178" s="50"/>
      <c r="G178" s="51"/>
      <c r="H178" s="50"/>
      <c r="I178" s="51"/>
      <c r="J178" s="52"/>
      <c r="K178" s="52"/>
      <c r="L178" s="51"/>
      <c r="M178" s="51"/>
      <c r="N178" s="51"/>
      <c r="O178" s="50"/>
      <c r="P178" s="50"/>
    </row>
    <row r="179" spans="1:16" x14ac:dyDescent="0.4">
      <c r="A179" s="19" t="s">
        <v>393</v>
      </c>
      <c r="B179" s="19"/>
      <c r="C179" s="33"/>
      <c r="D179" s="34"/>
      <c r="E179" s="33"/>
      <c r="F179" s="35"/>
      <c r="G179" s="33"/>
      <c r="H179" s="34"/>
      <c r="I179" s="36"/>
      <c r="J179" s="36"/>
      <c r="K179" s="36"/>
      <c r="L179" s="34"/>
      <c r="M179" s="34"/>
      <c r="N179" s="34"/>
      <c r="O179" s="36"/>
      <c r="P179" s="36"/>
    </row>
    <row r="180" spans="1:16" ht="29.15" x14ac:dyDescent="0.4">
      <c r="A180" s="42" t="s">
        <v>32</v>
      </c>
      <c r="B180" s="42" t="s">
        <v>32</v>
      </c>
      <c r="C180" s="42" t="s">
        <v>32</v>
      </c>
      <c r="D180" s="43" t="s">
        <v>32</v>
      </c>
      <c r="E180" s="42" t="s">
        <v>32</v>
      </c>
      <c r="F180" s="42" t="s">
        <v>32</v>
      </c>
      <c r="G180" s="42" t="s">
        <v>32</v>
      </c>
      <c r="H180" s="42" t="s">
        <v>32</v>
      </c>
      <c r="I180" s="53" t="s">
        <v>36</v>
      </c>
      <c r="J180" s="24" t="s">
        <v>69</v>
      </c>
      <c r="K180" s="24" t="s">
        <v>398</v>
      </c>
      <c r="L180" s="24" t="s">
        <v>90</v>
      </c>
      <c r="M180" s="53">
        <v>254</v>
      </c>
      <c r="N180" s="54" t="s">
        <v>32</v>
      </c>
      <c r="O180" s="24"/>
      <c r="P180" s="24" t="s">
        <v>400</v>
      </c>
    </row>
    <row r="181" spans="1:16" ht="29.15" x14ac:dyDescent="0.4">
      <c r="A181" s="42" t="s">
        <v>32</v>
      </c>
      <c r="B181" s="42" t="s">
        <v>32</v>
      </c>
      <c r="C181" s="42" t="s">
        <v>32</v>
      </c>
      <c r="D181" s="43" t="s">
        <v>32</v>
      </c>
      <c r="E181" s="42" t="s">
        <v>32</v>
      </c>
      <c r="F181" s="42" t="s">
        <v>32</v>
      </c>
      <c r="G181" s="42" t="s">
        <v>32</v>
      </c>
      <c r="H181" s="42" t="s">
        <v>32</v>
      </c>
      <c r="I181" s="53" t="s">
        <v>36</v>
      </c>
      <c r="J181" s="24" t="s">
        <v>69</v>
      </c>
      <c r="K181" s="24" t="s">
        <v>399</v>
      </c>
      <c r="L181" s="24" t="s">
        <v>208</v>
      </c>
      <c r="M181" s="53">
        <v>7</v>
      </c>
      <c r="N181" s="54" t="s">
        <v>32</v>
      </c>
      <c r="O181" s="24"/>
      <c r="P181" s="24" t="s">
        <v>401</v>
      </c>
    </row>
    <row r="182" spans="1:16" x14ac:dyDescent="0.4">
      <c r="A182" s="19" t="s">
        <v>402</v>
      </c>
      <c r="B182" s="19"/>
      <c r="C182" s="33"/>
      <c r="D182" s="34"/>
      <c r="E182" s="33"/>
      <c r="F182" s="35"/>
      <c r="G182" s="33"/>
      <c r="H182" s="34"/>
      <c r="I182" s="36"/>
      <c r="J182" s="36"/>
      <c r="K182" s="36"/>
      <c r="L182" s="34"/>
      <c r="M182" s="34"/>
      <c r="N182" s="34"/>
      <c r="O182" s="36"/>
      <c r="P182" s="36"/>
    </row>
    <row r="183" spans="1:16" ht="29.15" x14ac:dyDescent="0.4">
      <c r="A183" s="42" t="s">
        <v>32</v>
      </c>
      <c r="B183" s="42" t="s">
        <v>32</v>
      </c>
      <c r="C183" s="42" t="s">
        <v>32</v>
      </c>
      <c r="D183" s="43" t="s">
        <v>32</v>
      </c>
      <c r="E183" s="42" t="s">
        <v>32</v>
      </c>
      <c r="F183" s="42" t="s">
        <v>32</v>
      </c>
      <c r="G183" s="42" t="s">
        <v>32</v>
      </c>
      <c r="H183" s="42" t="s">
        <v>32</v>
      </c>
      <c r="I183" s="53" t="s">
        <v>32</v>
      </c>
      <c r="J183" s="24" t="s">
        <v>86</v>
      </c>
      <c r="K183" s="24" t="s">
        <v>480</v>
      </c>
      <c r="L183" s="24" t="s">
        <v>481</v>
      </c>
      <c r="M183" s="54" t="s">
        <v>32</v>
      </c>
      <c r="N183" s="54" t="s">
        <v>32</v>
      </c>
      <c r="O183" s="24" t="s">
        <v>482</v>
      </c>
      <c r="P183" s="24" t="s">
        <v>483</v>
      </c>
    </row>
    <row r="184" spans="1:16" ht="29.15" x14ac:dyDescent="0.4">
      <c r="A184" s="42" t="s">
        <v>32</v>
      </c>
      <c r="B184" s="42" t="s">
        <v>32</v>
      </c>
      <c r="C184" s="42" t="s">
        <v>32</v>
      </c>
      <c r="D184" s="43" t="s">
        <v>32</v>
      </c>
      <c r="E184" s="42" t="s">
        <v>32</v>
      </c>
      <c r="F184" s="42" t="s">
        <v>32</v>
      </c>
      <c r="G184" s="42" t="s">
        <v>32</v>
      </c>
      <c r="H184" s="42" t="s">
        <v>32</v>
      </c>
      <c r="I184" s="53" t="s">
        <v>32</v>
      </c>
      <c r="J184" s="24" t="s">
        <v>86</v>
      </c>
      <c r="K184" s="24" t="s">
        <v>484</v>
      </c>
      <c r="L184" s="24" t="s">
        <v>485</v>
      </c>
      <c r="M184" s="54" t="s">
        <v>32</v>
      </c>
      <c r="N184" s="54" t="s">
        <v>32</v>
      </c>
      <c r="O184" s="24"/>
      <c r="P184" s="24" t="s">
        <v>486</v>
      </c>
    </row>
    <row r="185" spans="1:16" ht="29.15" x14ac:dyDescent="0.4">
      <c r="A185" s="42" t="s">
        <v>32</v>
      </c>
      <c r="B185" s="42" t="s">
        <v>32</v>
      </c>
      <c r="C185" s="42" t="s">
        <v>32</v>
      </c>
      <c r="D185" s="43" t="s">
        <v>32</v>
      </c>
      <c r="E185" s="42" t="s">
        <v>32</v>
      </c>
      <c r="F185" s="42" t="s">
        <v>32</v>
      </c>
      <c r="G185" s="42" t="s">
        <v>32</v>
      </c>
      <c r="H185" s="42" t="s">
        <v>32</v>
      </c>
      <c r="I185" s="53" t="s">
        <v>32</v>
      </c>
      <c r="J185" s="24" t="s">
        <v>86</v>
      </c>
      <c r="K185" s="24" t="s">
        <v>97</v>
      </c>
      <c r="L185" s="24" t="s">
        <v>71</v>
      </c>
      <c r="M185" s="54" t="s">
        <v>32</v>
      </c>
      <c r="N185" s="54" t="s">
        <v>32</v>
      </c>
      <c r="O185" s="24" t="s">
        <v>482</v>
      </c>
      <c r="P185" s="24" t="s">
        <v>487</v>
      </c>
    </row>
    <row r="186" spans="1:16" ht="29.15" x14ac:dyDescent="0.4">
      <c r="A186" s="42" t="s">
        <v>32</v>
      </c>
      <c r="B186" s="42" t="s">
        <v>32</v>
      </c>
      <c r="C186" s="42" t="s">
        <v>32</v>
      </c>
      <c r="D186" s="43" t="s">
        <v>32</v>
      </c>
      <c r="E186" s="42" t="s">
        <v>32</v>
      </c>
      <c r="F186" s="42" t="s">
        <v>32</v>
      </c>
      <c r="G186" s="42" t="s">
        <v>32</v>
      </c>
      <c r="H186" s="42" t="s">
        <v>32</v>
      </c>
      <c r="I186" s="53" t="s">
        <v>32</v>
      </c>
      <c r="J186" s="24" t="s">
        <v>86</v>
      </c>
      <c r="K186" s="24" t="s">
        <v>488</v>
      </c>
      <c r="L186" s="24" t="s">
        <v>489</v>
      </c>
      <c r="M186" s="54" t="s">
        <v>32</v>
      </c>
      <c r="N186" s="54" t="s">
        <v>32</v>
      </c>
      <c r="O186" s="24"/>
      <c r="P186" s="24" t="s">
        <v>490</v>
      </c>
    </row>
    <row r="187" spans="1:16" ht="29.15" x14ac:dyDescent="0.4">
      <c r="A187" s="42" t="s">
        <v>32</v>
      </c>
      <c r="B187" s="42" t="s">
        <v>32</v>
      </c>
      <c r="C187" s="42" t="s">
        <v>32</v>
      </c>
      <c r="D187" s="43" t="s">
        <v>32</v>
      </c>
      <c r="E187" s="42" t="s">
        <v>32</v>
      </c>
      <c r="F187" s="42" t="s">
        <v>32</v>
      </c>
      <c r="G187" s="42" t="s">
        <v>32</v>
      </c>
      <c r="H187" s="42" t="s">
        <v>32</v>
      </c>
      <c r="I187" s="53" t="s">
        <v>32</v>
      </c>
      <c r="J187" s="24" t="s">
        <v>86</v>
      </c>
      <c r="K187" s="24" t="s">
        <v>491</v>
      </c>
      <c r="L187" s="24" t="s">
        <v>481</v>
      </c>
      <c r="M187" s="54" t="s">
        <v>32</v>
      </c>
      <c r="N187" s="54" t="s">
        <v>32</v>
      </c>
      <c r="O187" s="24" t="s">
        <v>482</v>
      </c>
      <c r="P187" s="24" t="s">
        <v>492</v>
      </c>
    </row>
    <row r="188" spans="1:16" ht="29.15" x14ac:dyDescent="0.4">
      <c r="A188" s="42" t="s">
        <v>32</v>
      </c>
      <c r="B188" s="42" t="s">
        <v>32</v>
      </c>
      <c r="C188" s="42" t="s">
        <v>32</v>
      </c>
      <c r="D188" s="43" t="s">
        <v>32</v>
      </c>
      <c r="E188" s="42" t="s">
        <v>32</v>
      </c>
      <c r="F188" s="42" t="s">
        <v>32</v>
      </c>
      <c r="G188" s="42" t="s">
        <v>32</v>
      </c>
      <c r="H188" s="42" t="s">
        <v>32</v>
      </c>
      <c r="I188" s="53" t="s">
        <v>32</v>
      </c>
      <c r="J188" s="24" t="s">
        <v>86</v>
      </c>
      <c r="K188" s="24" t="s">
        <v>493</v>
      </c>
      <c r="L188" s="24" t="s">
        <v>481</v>
      </c>
      <c r="M188" s="54" t="s">
        <v>32</v>
      </c>
      <c r="N188" s="54" t="s">
        <v>32</v>
      </c>
      <c r="O188" s="24"/>
      <c r="P188" s="24" t="s">
        <v>492</v>
      </c>
    </row>
    <row r="189" spans="1:16" ht="29.15" x14ac:dyDescent="0.4">
      <c r="A189" s="42" t="s">
        <v>32</v>
      </c>
      <c r="B189" s="42" t="s">
        <v>32</v>
      </c>
      <c r="C189" s="42" t="s">
        <v>32</v>
      </c>
      <c r="D189" s="43" t="s">
        <v>32</v>
      </c>
      <c r="E189" s="42" t="s">
        <v>32</v>
      </c>
      <c r="F189" s="42" t="s">
        <v>32</v>
      </c>
      <c r="G189" s="42" t="s">
        <v>32</v>
      </c>
      <c r="H189" s="42" t="s">
        <v>32</v>
      </c>
      <c r="I189" s="53" t="s">
        <v>32</v>
      </c>
      <c r="J189" s="24" t="s">
        <v>86</v>
      </c>
      <c r="K189" s="24" t="s">
        <v>135</v>
      </c>
      <c r="L189" s="24" t="s">
        <v>90</v>
      </c>
      <c r="M189" s="53" t="s">
        <v>494</v>
      </c>
      <c r="N189" s="54" t="s">
        <v>32</v>
      </c>
      <c r="O189" s="24" t="s">
        <v>482</v>
      </c>
      <c r="P189" s="24" t="s">
        <v>495</v>
      </c>
    </row>
    <row r="190" spans="1:16" ht="29.15" x14ac:dyDescent="0.4">
      <c r="A190" s="42" t="s">
        <v>32</v>
      </c>
      <c r="B190" s="42" t="s">
        <v>32</v>
      </c>
      <c r="C190" s="42" t="s">
        <v>32</v>
      </c>
      <c r="D190" s="43" t="s">
        <v>32</v>
      </c>
      <c r="E190" s="42" t="s">
        <v>32</v>
      </c>
      <c r="F190" s="42" t="s">
        <v>32</v>
      </c>
      <c r="G190" s="42" t="s">
        <v>32</v>
      </c>
      <c r="H190" s="42" t="s">
        <v>32</v>
      </c>
      <c r="I190" s="53" t="s">
        <v>32</v>
      </c>
      <c r="J190" s="24" t="s">
        <v>86</v>
      </c>
      <c r="K190" s="24" t="s">
        <v>496</v>
      </c>
      <c r="L190" s="24" t="s">
        <v>396</v>
      </c>
      <c r="M190" s="54" t="s">
        <v>32</v>
      </c>
      <c r="N190" s="54" t="s">
        <v>32</v>
      </c>
      <c r="O190" s="24"/>
      <c r="P190" s="24" t="s">
        <v>497</v>
      </c>
    </row>
    <row r="191" spans="1:16" ht="29.15" x14ac:dyDescent="0.4">
      <c r="A191" s="42" t="s">
        <v>32</v>
      </c>
      <c r="B191" s="42" t="s">
        <v>32</v>
      </c>
      <c r="C191" s="42" t="s">
        <v>32</v>
      </c>
      <c r="D191" s="43" t="s">
        <v>32</v>
      </c>
      <c r="E191" s="42" t="s">
        <v>32</v>
      </c>
      <c r="F191" s="42" t="s">
        <v>32</v>
      </c>
      <c r="G191" s="42" t="s">
        <v>32</v>
      </c>
      <c r="H191" s="42" t="s">
        <v>32</v>
      </c>
      <c r="I191" s="53" t="s">
        <v>32</v>
      </c>
      <c r="J191" s="24" t="s">
        <v>86</v>
      </c>
      <c r="K191" s="24" t="s">
        <v>498</v>
      </c>
      <c r="L191" s="24" t="s">
        <v>396</v>
      </c>
      <c r="M191" s="54" t="s">
        <v>32</v>
      </c>
      <c r="N191" s="54" t="s">
        <v>32</v>
      </c>
      <c r="O191" s="24"/>
      <c r="P191" s="24" t="s">
        <v>499</v>
      </c>
    </row>
    <row r="192" spans="1:16" ht="29.15" x14ac:dyDescent="0.4">
      <c r="A192" s="42" t="s">
        <v>32</v>
      </c>
      <c r="B192" s="42" t="s">
        <v>32</v>
      </c>
      <c r="C192" s="42" t="s">
        <v>32</v>
      </c>
      <c r="D192" s="43" t="s">
        <v>32</v>
      </c>
      <c r="E192" s="42" t="s">
        <v>32</v>
      </c>
      <c r="F192" s="42" t="s">
        <v>32</v>
      </c>
      <c r="G192" s="42" t="s">
        <v>32</v>
      </c>
      <c r="H192" s="42" t="s">
        <v>32</v>
      </c>
      <c r="I192" s="53" t="s">
        <v>32</v>
      </c>
      <c r="J192" s="24" t="s">
        <v>86</v>
      </c>
      <c r="K192" s="24" t="s">
        <v>500</v>
      </c>
      <c r="L192" s="24" t="s">
        <v>396</v>
      </c>
      <c r="M192" s="54" t="s">
        <v>32</v>
      </c>
      <c r="N192" s="54" t="s">
        <v>32</v>
      </c>
      <c r="O192" s="24"/>
      <c r="P192" s="24" t="s">
        <v>501</v>
      </c>
    </row>
    <row r="193" spans="1:16" ht="29.15" x14ac:dyDescent="0.4">
      <c r="A193" s="42" t="s">
        <v>32</v>
      </c>
      <c r="B193" s="42" t="s">
        <v>32</v>
      </c>
      <c r="C193" s="42" t="s">
        <v>32</v>
      </c>
      <c r="D193" s="43" t="s">
        <v>32</v>
      </c>
      <c r="E193" s="42" t="s">
        <v>32</v>
      </c>
      <c r="F193" s="42" t="s">
        <v>32</v>
      </c>
      <c r="G193" s="42" t="s">
        <v>32</v>
      </c>
      <c r="H193" s="42" t="s">
        <v>32</v>
      </c>
      <c r="I193" s="53" t="s">
        <v>32</v>
      </c>
      <c r="J193" s="24" t="s">
        <v>86</v>
      </c>
      <c r="K193" s="24" t="s">
        <v>502</v>
      </c>
      <c r="L193" s="24" t="s">
        <v>396</v>
      </c>
      <c r="M193" s="54" t="s">
        <v>32</v>
      </c>
      <c r="N193" s="54" t="s">
        <v>32</v>
      </c>
      <c r="O193" s="24"/>
      <c r="P193" s="24" t="s">
        <v>499</v>
      </c>
    </row>
    <row r="194" spans="1:16" ht="29.15" x14ac:dyDescent="0.4">
      <c r="A194" s="42" t="s">
        <v>32</v>
      </c>
      <c r="B194" s="42" t="s">
        <v>32</v>
      </c>
      <c r="C194" s="42" t="s">
        <v>32</v>
      </c>
      <c r="D194" s="43" t="s">
        <v>32</v>
      </c>
      <c r="E194" s="42" t="s">
        <v>32</v>
      </c>
      <c r="F194" s="42" t="s">
        <v>32</v>
      </c>
      <c r="G194" s="42" t="s">
        <v>32</v>
      </c>
      <c r="H194" s="42" t="s">
        <v>32</v>
      </c>
      <c r="I194" s="53" t="s">
        <v>32</v>
      </c>
      <c r="J194" s="24" t="s">
        <v>86</v>
      </c>
      <c r="K194" s="24" t="s">
        <v>394</v>
      </c>
      <c r="L194" s="24" t="s">
        <v>90</v>
      </c>
      <c r="M194" s="53" t="s">
        <v>494</v>
      </c>
      <c r="N194" s="54" t="s">
        <v>32</v>
      </c>
      <c r="O194" s="24"/>
      <c r="P194" s="24" t="s">
        <v>503</v>
      </c>
    </row>
    <row r="195" spans="1:16" ht="29.15" x14ac:dyDescent="0.4">
      <c r="A195" s="42" t="s">
        <v>32</v>
      </c>
      <c r="B195" s="42" t="s">
        <v>32</v>
      </c>
      <c r="C195" s="42" t="s">
        <v>32</v>
      </c>
      <c r="D195" s="43" t="s">
        <v>32</v>
      </c>
      <c r="E195" s="42" t="s">
        <v>32</v>
      </c>
      <c r="F195" s="42" t="s">
        <v>32</v>
      </c>
      <c r="G195" s="42" t="s">
        <v>32</v>
      </c>
      <c r="H195" s="42" t="s">
        <v>32</v>
      </c>
      <c r="I195" s="53" t="s">
        <v>32</v>
      </c>
      <c r="J195" s="24" t="s">
        <v>86</v>
      </c>
      <c r="K195" s="24" t="s">
        <v>395</v>
      </c>
      <c r="L195" s="24" t="s">
        <v>396</v>
      </c>
      <c r="M195" s="54" t="s">
        <v>32</v>
      </c>
      <c r="N195" s="54" t="s">
        <v>32</v>
      </c>
      <c r="O195" s="24"/>
      <c r="P195" s="24" t="s">
        <v>504</v>
      </c>
    </row>
    <row r="196" spans="1:16" ht="29.15" x14ac:dyDescent="0.4">
      <c r="A196" s="42" t="s">
        <v>32</v>
      </c>
      <c r="B196" s="42" t="s">
        <v>32</v>
      </c>
      <c r="C196" s="42" t="s">
        <v>32</v>
      </c>
      <c r="D196" s="43" t="s">
        <v>32</v>
      </c>
      <c r="E196" s="42" t="s">
        <v>32</v>
      </c>
      <c r="F196" s="42" t="s">
        <v>32</v>
      </c>
      <c r="G196" s="42" t="s">
        <v>32</v>
      </c>
      <c r="H196" s="42" t="s">
        <v>32</v>
      </c>
      <c r="I196" s="53" t="s">
        <v>32</v>
      </c>
      <c r="J196" s="24" t="s">
        <v>86</v>
      </c>
      <c r="K196" s="24" t="s">
        <v>397</v>
      </c>
      <c r="L196" s="24" t="s">
        <v>396</v>
      </c>
      <c r="M196" s="54" t="s">
        <v>32</v>
      </c>
      <c r="N196" s="54" t="s">
        <v>32</v>
      </c>
      <c r="O196" s="24"/>
      <c r="P196" s="24" t="s">
        <v>486</v>
      </c>
    </row>
    <row r="197" spans="1:16" ht="29.15" x14ac:dyDescent="0.4">
      <c r="A197" s="42" t="s">
        <v>32</v>
      </c>
      <c r="B197" s="42" t="s">
        <v>32</v>
      </c>
      <c r="C197" s="42" t="s">
        <v>32</v>
      </c>
      <c r="D197" s="43" t="s">
        <v>32</v>
      </c>
      <c r="E197" s="42" t="s">
        <v>32</v>
      </c>
      <c r="F197" s="42" t="s">
        <v>32</v>
      </c>
      <c r="G197" s="42" t="s">
        <v>32</v>
      </c>
      <c r="H197" s="42" t="s">
        <v>32</v>
      </c>
      <c r="I197" s="53" t="s">
        <v>32</v>
      </c>
      <c r="J197" s="24" t="s">
        <v>86</v>
      </c>
      <c r="K197" s="24" t="s">
        <v>505</v>
      </c>
      <c r="L197" s="24" t="s">
        <v>90</v>
      </c>
      <c r="M197" s="53" t="s">
        <v>506</v>
      </c>
      <c r="N197" s="54" t="s">
        <v>32</v>
      </c>
      <c r="O197" s="24"/>
      <c r="P197" s="24" t="s">
        <v>400</v>
      </c>
    </row>
    <row r="198" spans="1:16" ht="29.15" x14ac:dyDescent="0.4">
      <c r="A198" s="42" t="s">
        <v>32</v>
      </c>
      <c r="B198" s="42" t="s">
        <v>32</v>
      </c>
      <c r="C198" s="42" t="s">
        <v>32</v>
      </c>
      <c r="D198" s="43" t="s">
        <v>32</v>
      </c>
      <c r="E198" s="42" t="s">
        <v>32</v>
      </c>
      <c r="F198" s="42" t="s">
        <v>32</v>
      </c>
      <c r="G198" s="42" t="s">
        <v>32</v>
      </c>
      <c r="H198" s="42" t="s">
        <v>32</v>
      </c>
      <c r="I198" s="53" t="s">
        <v>32</v>
      </c>
      <c r="J198" s="24" t="s">
        <v>86</v>
      </c>
      <c r="K198" s="24" t="s">
        <v>507</v>
      </c>
      <c r="L198" s="24" t="s">
        <v>208</v>
      </c>
      <c r="M198" s="53" t="s">
        <v>508</v>
      </c>
      <c r="N198" s="54" t="s">
        <v>32</v>
      </c>
      <c r="O198" s="24"/>
      <c r="P198" s="24" t="s">
        <v>401</v>
      </c>
    </row>
    <row r="199" spans="1:16" ht="29.15" x14ac:dyDescent="0.4">
      <c r="A199" s="42" t="s">
        <v>32</v>
      </c>
      <c r="B199" s="42" t="s">
        <v>32</v>
      </c>
      <c r="C199" s="42" t="s">
        <v>32</v>
      </c>
      <c r="D199" s="43" t="s">
        <v>32</v>
      </c>
      <c r="E199" s="42" t="s">
        <v>32</v>
      </c>
      <c r="F199" s="42" t="s">
        <v>32</v>
      </c>
      <c r="G199" s="42" t="s">
        <v>32</v>
      </c>
      <c r="H199" s="42" t="s">
        <v>32</v>
      </c>
      <c r="I199" s="53" t="s">
        <v>32</v>
      </c>
      <c r="J199" s="24" t="s">
        <v>86</v>
      </c>
      <c r="K199" s="24" t="s">
        <v>398</v>
      </c>
      <c r="L199" s="24" t="s">
        <v>90</v>
      </c>
      <c r="M199" s="53" t="s">
        <v>506</v>
      </c>
      <c r="N199" s="54" t="s">
        <v>32</v>
      </c>
      <c r="O199" s="24"/>
      <c r="P199" s="24" t="s">
        <v>400</v>
      </c>
    </row>
    <row r="200" spans="1:16" ht="29.15" x14ac:dyDescent="0.4">
      <c r="A200" s="42" t="s">
        <v>32</v>
      </c>
      <c r="B200" s="42" t="s">
        <v>32</v>
      </c>
      <c r="C200" s="42" t="s">
        <v>32</v>
      </c>
      <c r="D200" s="43" t="s">
        <v>32</v>
      </c>
      <c r="E200" s="42" t="s">
        <v>32</v>
      </c>
      <c r="F200" s="42" t="s">
        <v>32</v>
      </c>
      <c r="G200" s="42" t="s">
        <v>32</v>
      </c>
      <c r="H200" s="42" t="s">
        <v>32</v>
      </c>
      <c r="I200" s="53" t="s">
        <v>32</v>
      </c>
      <c r="J200" s="24" t="s">
        <v>86</v>
      </c>
      <c r="K200" s="24" t="s">
        <v>399</v>
      </c>
      <c r="L200" s="24" t="s">
        <v>208</v>
      </c>
      <c r="M200" s="53" t="s">
        <v>508</v>
      </c>
      <c r="N200" s="54" t="s">
        <v>32</v>
      </c>
      <c r="O200" s="24"/>
      <c r="P200" s="24" t="s">
        <v>401</v>
      </c>
    </row>
  </sheetData>
  <autoFilter ref="A2:P181" xr:uid="{BA60FA80-5876-44D2-8C4F-5FF09F95E9BA}"/>
  <mergeCells count="14">
    <mergeCell ref="O1:P1"/>
    <mergeCell ref="J1:N1"/>
    <mergeCell ref="B1:H1"/>
    <mergeCell ref="A33:A34"/>
    <mergeCell ref="B33:B34"/>
    <mergeCell ref="C33:C34"/>
    <mergeCell ref="D33:D34"/>
    <mergeCell ref="E33:E34"/>
    <mergeCell ref="F33:F34"/>
    <mergeCell ref="G33:G34"/>
    <mergeCell ref="H33:H34"/>
    <mergeCell ref="I33:I34"/>
    <mergeCell ref="O33:O34"/>
    <mergeCell ref="P33:P34"/>
  </mergeCells>
  <phoneticPr fontId="9" type="noConversion"/>
  <pageMargins left="0.2" right="0.2" top="0.75" bottom="0.75" header="0.3" footer="0.3"/>
  <pageSetup paperSize="5" scale="65" orientation="landscape" r:id="rId1"/>
  <headerFooter>
    <oddHeader>&amp;A</oddHead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23C6-B5EC-4A7B-A890-5BD4ACAC1706}">
  <dimension ref="A1:C34"/>
  <sheetViews>
    <sheetView zoomScale="130" zoomScaleNormal="130" workbookViewId="0">
      <pane ySplit="1" topLeftCell="A2" activePane="bottomLeft" state="frozen"/>
      <selection pane="bottomLeft" activeCell="A2" sqref="A2"/>
    </sheetView>
  </sheetViews>
  <sheetFormatPr defaultRowHeight="14.6" x14ac:dyDescent="0.4"/>
  <cols>
    <col min="1" max="1" width="15.69140625" style="10" customWidth="1"/>
    <col min="2" max="2" width="113" customWidth="1"/>
    <col min="3" max="3" width="73.69140625" style="11" customWidth="1"/>
  </cols>
  <sheetData>
    <row r="1" spans="1:3" x14ac:dyDescent="0.4">
      <c r="A1" s="39" t="s">
        <v>237</v>
      </c>
      <c r="B1" s="90" t="s">
        <v>14</v>
      </c>
      <c r="C1" s="18" t="s">
        <v>238</v>
      </c>
    </row>
    <row r="2" spans="1:3" x14ac:dyDescent="0.4">
      <c r="A2" s="41" t="s">
        <v>51</v>
      </c>
      <c r="B2" s="44" t="s">
        <v>239</v>
      </c>
      <c r="C2" s="44" t="s">
        <v>521</v>
      </c>
    </row>
    <row r="3" spans="1:3" ht="43.75" x14ac:dyDescent="0.4">
      <c r="A3" s="41" t="s">
        <v>240</v>
      </c>
      <c r="B3" s="44" t="s">
        <v>241</v>
      </c>
      <c r="C3" s="12" t="s">
        <v>242</v>
      </c>
    </row>
    <row r="4" spans="1:3" ht="29.15" x14ac:dyDescent="0.4">
      <c r="A4" s="41" t="s">
        <v>243</v>
      </c>
      <c r="B4" s="44" t="s">
        <v>244</v>
      </c>
      <c r="C4" s="12" t="s">
        <v>245</v>
      </c>
    </row>
    <row r="5" spans="1:3" ht="43.75" x14ac:dyDescent="0.4">
      <c r="A5" s="91" t="s">
        <v>246</v>
      </c>
      <c r="B5" s="92" t="s">
        <v>378</v>
      </c>
      <c r="C5" s="38" t="s">
        <v>517</v>
      </c>
    </row>
    <row r="6" spans="1:3" ht="29.15" x14ac:dyDescent="0.4">
      <c r="A6" s="91" t="s">
        <v>247</v>
      </c>
      <c r="B6" s="92" t="s">
        <v>379</v>
      </c>
      <c r="C6" s="38" t="s">
        <v>524</v>
      </c>
    </row>
    <row r="7" spans="1:3" ht="87.45" x14ac:dyDescent="0.4">
      <c r="A7" s="91" t="s">
        <v>248</v>
      </c>
      <c r="B7" s="92" t="s">
        <v>249</v>
      </c>
      <c r="C7" s="38" t="s">
        <v>525</v>
      </c>
    </row>
    <row r="8" spans="1:3" ht="43.75" x14ac:dyDescent="0.4">
      <c r="A8" s="91" t="s">
        <v>250</v>
      </c>
      <c r="B8" s="92" t="s">
        <v>251</v>
      </c>
      <c r="C8" s="38" t="s">
        <v>526</v>
      </c>
    </row>
    <row r="9" spans="1:3" ht="43.75" x14ac:dyDescent="0.4">
      <c r="A9" s="91" t="s">
        <v>252</v>
      </c>
      <c r="B9" s="92" t="s">
        <v>253</v>
      </c>
      <c r="C9" s="38" t="s">
        <v>526</v>
      </c>
    </row>
    <row r="10" spans="1:3" ht="72.900000000000006" x14ac:dyDescent="0.4">
      <c r="A10" s="41" t="s">
        <v>254</v>
      </c>
      <c r="B10" s="44" t="s">
        <v>534</v>
      </c>
      <c r="C10" s="12" t="s">
        <v>245</v>
      </c>
    </row>
    <row r="11" spans="1:3" ht="72.900000000000006" x14ac:dyDescent="0.4">
      <c r="A11" s="41" t="s">
        <v>255</v>
      </c>
      <c r="B11" s="44" t="s">
        <v>533</v>
      </c>
      <c r="C11" s="44" t="s">
        <v>522</v>
      </c>
    </row>
    <row r="12" spans="1:3" ht="58.3" x14ac:dyDescent="0.4">
      <c r="A12" s="93" t="s">
        <v>256</v>
      </c>
      <c r="B12" s="94" t="s">
        <v>451</v>
      </c>
      <c r="C12" s="89" t="s">
        <v>518</v>
      </c>
    </row>
    <row r="13" spans="1:3" ht="58.3" x14ac:dyDescent="0.4">
      <c r="A13" s="41" t="s">
        <v>257</v>
      </c>
      <c r="B13" s="44" t="s">
        <v>536</v>
      </c>
      <c r="C13" s="12" t="s">
        <v>245</v>
      </c>
    </row>
    <row r="14" spans="1:3" ht="58.3" x14ac:dyDescent="0.4">
      <c r="A14" s="41" t="s">
        <v>258</v>
      </c>
      <c r="B14" s="44" t="s">
        <v>535</v>
      </c>
      <c r="C14" s="12" t="s">
        <v>245</v>
      </c>
    </row>
    <row r="15" spans="1:3" ht="58.3" x14ac:dyDescent="0.4">
      <c r="A15" s="91" t="s">
        <v>259</v>
      </c>
      <c r="B15" s="92" t="s">
        <v>381</v>
      </c>
      <c r="C15" s="38" t="s">
        <v>519</v>
      </c>
    </row>
    <row r="16" spans="1:3" ht="58.3" x14ac:dyDescent="0.4">
      <c r="A16" s="91" t="s">
        <v>260</v>
      </c>
      <c r="B16" s="92" t="s">
        <v>382</v>
      </c>
      <c r="C16" s="38" t="s">
        <v>519</v>
      </c>
    </row>
    <row r="17" spans="1:3" ht="58.3" x14ac:dyDescent="0.4">
      <c r="A17" s="91" t="s">
        <v>261</v>
      </c>
      <c r="B17" s="92" t="s">
        <v>413</v>
      </c>
      <c r="C17" s="38" t="s">
        <v>519</v>
      </c>
    </row>
    <row r="18" spans="1:3" ht="58.3" x14ac:dyDescent="0.4">
      <c r="A18" s="91" t="s">
        <v>262</v>
      </c>
      <c r="B18" s="92" t="s">
        <v>263</v>
      </c>
      <c r="C18" s="38" t="s">
        <v>519</v>
      </c>
    </row>
    <row r="19" spans="1:3" ht="58.3" x14ac:dyDescent="0.4">
      <c r="A19" s="41" t="s">
        <v>107</v>
      </c>
      <c r="B19" s="44" t="s">
        <v>409</v>
      </c>
      <c r="C19" s="12" t="s">
        <v>245</v>
      </c>
    </row>
    <row r="20" spans="1:3" x14ac:dyDescent="0.4">
      <c r="A20" s="41" t="s">
        <v>115</v>
      </c>
      <c r="B20" s="44" t="s">
        <v>264</v>
      </c>
      <c r="C20" s="29" t="s">
        <v>32</v>
      </c>
    </row>
    <row r="21" spans="1:3" ht="58.3" x14ac:dyDescent="0.4">
      <c r="A21" s="91" t="s">
        <v>265</v>
      </c>
      <c r="B21" s="92" t="s">
        <v>266</v>
      </c>
      <c r="C21" s="38" t="s">
        <v>520</v>
      </c>
    </row>
    <row r="22" spans="1:3" ht="58.3" x14ac:dyDescent="0.4">
      <c r="A22" s="91" t="s">
        <v>267</v>
      </c>
      <c r="B22" s="92" t="s">
        <v>268</v>
      </c>
      <c r="C22" s="38" t="s">
        <v>520</v>
      </c>
    </row>
    <row r="23" spans="1:3" ht="58.3" x14ac:dyDescent="0.4">
      <c r="A23" s="91" t="s">
        <v>269</v>
      </c>
      <c r="B23" s="92" t="s">
        <v>270</v>
      </c>
      <c r="C23" s="38" t="s">
        <v>520</v>
      </c>
    </row>
    <row r="24" spans="1:3" ht="58.3" x14ac:dyDescent="0.4">
      <c r="A24" s="93" t="s">
        <v>271</v>
      </c>
      <c r="B24" s="94" t="s">
        <v>272</v>
      </c>
      <c r="C24" s="89" t="s">
        <v>520</v>
      </c>
    </row>
    <row r="25" spans="1:3" ht="29.15" x14ac:dyDescent="0.4">
      <c r="A25" s="41" t="s">
        <v>273</v>
      </c>
      <c r="B25" s="44" t="s">
        <v>274</v>
      </c>
      <c r="C25" s="12" t="s">
        <v>245</v>
      </c>
    </row>
    <row r="26" spans="1:3" ht="29.15" x14ac:dyDescent="0.4">
      <c r="A26" s="41" t="s">
        <v>275</v>
      </c>
      <c r="B26" s="44" t="s">
        <v>276</v>
      </c>
      <c r="C26" s="12" t="s">
        <v>245</v>
      </c>
    </row>
    <row r="27" spans="1:3" ht="29.15" x14ac:dyDescent="0.4">
      <c r="A27" s="41" t="s">
        <v>277</v>
      </c>
      <c r="B27" s="44" t="s">
        <v>278</v>
      </c>
      <c r="C27" s="12" t="s">
        <v>245</v>
      </c>
    </row>
    <row r="28" spans="1:3" ht="29.15" x14ac:dyDescent="0.4">
      <c r="A28" s="41" t="s">
        <v>279</v>
      </c>
      <c r="B28" s="44" t="s">
        <v>280</v>
      </c>
      <c r="C28" s="44" t="s">
        <v>523</v>
      </c>
    </row>
    <row r="29" spans="1:3" ht="58.3" x14ac:dyDescent="0.4">
      <c r="A29" s="91" t="s">
        <v>281</v>
      </c>
      <c r="B29" s="92" t="s">
        <v>282</v>
      </c>
      <c r="C29" s="38" t="s">
        <v>520</v>
      </c>
    </row>
    <row r="30" spans="1:3" ht="43.75" x14ac:dyDescent="0.4">
      <c r="A30" s="41" t="s">
        <v>283</v>
      </c>
      <c r="B30" s="44" t="s">
        <v>284</v>
      </c>
      <c r="C30" s="44" t="s">
        <v>527</v>
      </c>
    </row>
    <row r="31" spans="1:3" ht="29.15" x14ac:dyDescent="0.4">
      <c r="A31" s="41" t="s">
        <v>173</v>
      </c>
      <c r="B31" s="44" t="s">
        <v>285</v>
      </c>
      <c r="C31" s="44" t="s">
        <v>528</v>
      </c>
    </row>
    <row r="32" spans="1:3" ht="43.75" x14ac:dyDescent="0.4">
      <c r="A32" s="41" t="s">
        <v>211</v>
      </c>
      <c r="B32" s="44" t="s">
        <v>286</v>
      </c>
      <c r="C32" s="44" t="s">
        <v>529</v>
      </c>
    </row>
    <row r="33" spans="1:3" ht="58.3" x14ac:dyDescent="0.4">
      <c r="A33" s="41" t="s">
        <v>406</v>
      </c>
      <c r="B33" s="44" t="s">
        <v>470</v>
      </c>
      <c r="C33" s="44" t="s">
        <v>530</v>
      </c>
    </row>
    <row r="34" spans="1:3" ht="43.75" x14ac:dyDescent="0.4">
      <c r="A34" s="41" t="s">
        <v>407</v>
      </c>
      <c r="B34" s="44" t="s">
        <v>410</v>
      </c>
      <c r="C34" s="44" t="s">
        <v>531</v>
      </c>
    </row>
  </sheetData>
  <phoneticPr fontId="9" type="noConversion"/>
  <pageMargins left="0.2" right="0.2" top="0.75" bottom="0.75" header="0.3" footer="0.3"/>
  <pageSetup paperSize="5" orientation="landscape" r:id="rId1"/>
  <headerFooter>
    <oddHeader>&amp;A</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8D18-E611-4A2A-9936-B449DFDD530D}">
  <dimension ref="A1:B18"/>
  <sheetViews>
    <sheetView zoomScaleNormal="100" workbookViewId="0">
      <pane ySplit="1" topLeftCell="A2" activePane="bottomLeft" state="frozen"/>
      <selection pane="bottomLeft" activeCell="B8" sqref="B8"/>
    </sheetView>
  </sheetViews>
  <sheetFormatPr defaultColWidth="9.3046875" defaultRowHeight="14.6" x14ac:dyDescent="0.4"/>
  <cols>
    <col min="1" max="2" width="69.3046875" style="1" customWidth="1"/>
    <col min="3" max="16384" width="9.3046875" style="1"/>
  </cols>
  <sheetData>
    <row r="1" spans="1:2" x14ac:dyDescent="0.4">
      <c r="A1" s="4" t="s">
        <v>287</v>
      </c>
      <c r="B1" s="4" t="s">
        <v>288</v>
      </c>
    </row>
    <row r="2" spans="1:2" ht="29.15" x14ac:dyDescent="0.4">
      <c r="A2" s="12" t="s">
        <v>289</v>
      </c>
      <c r="B2" s="12" t="s">
        <v>290</v>
      </c>
    </row>
    <row r="3" spans="1:2" x14ac:dyDescent="0.4">
      <c r="A3" s="12" t="s">
        <v>291</v>
      </c>
      <c r="B3" s="12" t="s">
        <v>292</v>
      </c>
    </row>
    <row r="4" spans="1:2" x14ac:dyDescent="0.4">
      <c r="A4" s="12" t="s">
        <v>293</v>
      </c>
      <c r="B4" s="12" t="s">
        <v>294</v>
      </c>
    </row>
    <row r="5" spans="1:2" x14ac:dyDescent="0.4">
      <c r="A5" s="12" t="s">
        <v>295</v>
      </c>
      <c r="B5" s="12" t="s">
        <v>296</v>
      </c>
    </row>
    <row r="6" spans="1:2" ht="29.15" x14ac:dyDescent="0.4">
      <c r="A6" s="12" t="s">
        <v>297</v>
      </c>
      <c r="B6" s="12" t="s">
        <v>298</v>
      </c>
    </row>
    <row r="7" spans="1:2" ht="29.15" x14ac:dyDescent="0.4">
      <c r="A7" s="12" t="s">
        <v>299</v>
      </c>
      <c r="B7" s="12" t="s">
        <v>300</v>
      </c>
    </row>
    <row r="8" spans="1:2" x14ac:dyDescent="0.4">
      <c r="A8" s="12" t="s">
        <v>301</v>
      </c>
      <c r="B8" s="12" t="s">
        <v>302</v>
      </c>
    </row>
    <row r="9" spans="1:2" x14ac:dyDescent="0.4">
      <c r="A9" s="12" t="s">
        <v>303</v>
      </c>
      <c r="B9" s="12" t="s">
        <v>304</v>
      </c>
    </row>
    <row r="10" spans="1:2" ht="43.75" x14ac:dyDescent="0.4">
      <c r="A10" s="12" t="s">
        <v>305</v>
      </c>
      <c r="B10" s="12" t="s">
        <v>306</v>
      </c>
    </row>
    <row r="11" spans="1:2" ht="29.15" x14ac:dyDescent="0.4">
      <c r="A11" s="12" t="s">
        <v>307</v>
      </c>
      <c r="B11" s="65" t="s">
        <v>408</v>
      </c>
    </row>
    <row r="12" spans="1:2" x14ac:dyDescent="0.4">
      <c r="A12" s="12" t="s">
        <v>308</v>
      </c>
      <c r="B12" s="12" t="s">
        <v>309</v>
      </c>
    </row>
    <row r="13" spans="1:2" ht="29.15" x14ac:dyDescent="0.4">
      <c r="A13" s="12" t="s">
        <v>310</v>
      </c>
      <c r="B13" s="12" t="s">
        <v>311</v>
      </c>
    </row>
    <row r="14" spans="1:2" ht="29.15" x14ac:dyDescent="0.4">
      <c r="A14" s="12" t="s">
        <v>312</v>
      </c>
      <c r="B14" s="12" t="s">
        <v>313</v>
      </c>
    </row>
    <row r="15" spans="1:2" ht="43.75" x14ac:dyDescent="0.4">
      <c r="A15" s="12" t="s">
        <v>314</v>
      </c>
      <c r="B15" s="12" t="s">
        <v>315</v>
      </c>
    </row>
    <row r="16" spans="1:2" x14ac:dyDescent="0.4">
      <c r="A16" s="12" t="s">
        <v>316</v>
      </c>
      <c r="B16" s="12" t="s">
        <v>311</v>
      </c>
    </row>
    <row r="17" spans="1:2" ht="87.45" x14ac:dyDescent="0.4">
      <c r="A17" s="12" t="s">
        <v>317</v>
      </c>
      <c r="B17" s="29" t="s">
        <v>32</v>
      </c>
    </row>
    <row r="18" spans="1:2" ht="29.15" x14ac:dyDescent="0.4">
      <c r="A18" s="12" t="s">
        <v>318</v>
      </c>
      <c r="B18" s="26" t="s">
        <v>403</v>
      </c>
    </row>
  </sheetData>
  <pageMargins left="0.7" right="0.7" top="0.75" bottom="0.75" header="0.3" footer="0.3"/>
  <pageSetup paperSize="5" orientation="landscape" r:id="rId1"/>
  <headerFooter>
    <oddHeader>&amp;A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5D369-5C0B-4CD7-A2C8-4DBFF22A4DF6}">
  <dimension ref="A1:C24"/>
  <sheetViews>
    <sheetView zoomScale="90" zoomScaleNormal="90" workbookViewId="0">
      <pane ySplit="2" topLeftCell="A3" activePane="bottomLeft" state="frozen"/>
      <selection pane="bottomLeft" activeCell="C24" sqref="C24"/>
    </sheetView>
  </sheetViews>
  <sheetFormatPr defaultColWidth="9.15234375" defaultRowHeight="15" customHeight="1" x14ac:dyDescent="0.4"/>
  <cols>
    <col min="1" max="1" width="25.69140625" style="10" customWidth="1"/>
    <col min="2" max="2" width="88.84375" style="11" customWidth="1"/>
    <col min="3" max="3" width="70.3046875" style="11" customWidth="1"/>
    <col min="4" max="16384" width="9.15234375" style="11"/>
  </cols>
  <sheetData>
    <row r="1" spans="1:3" ht="32.25" customHeight="1" x14ac:dyDescent="0.4">
      <c r="A1" s="110" t="s">
        <v>404</v>
      </c>
      <c r="B1" s="111"/>
      <c r="C1" s="30" t="s">
        <v>319</v>
      </c>
    </row>
    <row r="2" spans="1:3" ht="15" customHeight="1" x14ac:dyDescent="0.4">
      <c r="A2" s="32" t="s">
        <v>320</v>
      </c>
      <c r="B2" s="31" t="s">
        <v>450</v>
      </c>
      <c r="C2" s="31" t="s">
        <v>321</v>
      </c>
    </row>
    <row r="3" spans="1:3" ht="14.6" x14ac:dyDescent="0.4">
      <c r="A3" s="41" t="s">
        <v>323</v>
      </c>
      <c r="B3" s="44" t="s">
        <v>418</v>
      </c>
      <c r="C3" s="85" t="s">
        <v>438</v>
      </c>
    </row>
    <row r="4" spans="1:3" ht="14.6" x14ac:dyDescent="0.4">
      <c r="A4" s="41" t="s">
        <v>324</v>
      </c>
      <c r="B4" s="44" t="s">
        <v>419</v>
      </c>
      <c r="C4" s="85" t="s">
        <v>439</v>
      </c>
    </row>
    <row r="5" spans="1:3" ht="14.6" x14ac:dyDescent="0.4">
      <c r="A5" s="41" t="s">
        <v>325</v>
      </c>
      <c r="B5" s="44" t="s">
        <v>420</v>
      </c>
      <c r="C5" s="85" t="s">
        <v>440</v>
      </c>
    </row>
    <row r="6" spans="1:3" ht="14.6" x14ac:dyDescent="0.4">
      <c r="A6" s="41" t="s">
        <v>326</v>
      </c>
      <c r="B6" s="44" t="s">
        <v>421</v>
      </c>
      <c r="C6" s="85" t="s">
        <v>441</v>
      </c>
    </row>
    <row r="7" spans="1:3" ht="14.6" x14ac:dyDescent="0.4">
      <c r="A7" s="41" t="s">
        <v>327</v>
      </c>
      <c r="B7" s="44" t="s">
        <v>422</v>
      </c>
      <c r="C7" s="85" t="s">
        <v>471</v>
      </c>
    </row>
    <row r="8" spans="1:3" ht="14.6" x14ac:dyDescent="0.4">
      <c r="A8" s="41" t="s">
        <v>386</v>
      </c>
      <c r="B8" s="44" t="s">
        <v>476</v>
      </c>
      <c r="C8" s="85" t="s">
        <v>472</v>
      </c>
    </row>
    <row r="9" spans="1:3" ht="14.6" x14ac:dyDescent="0.4">
      <c r="A9" s="41">
        <v>64</v>
      </c>
      <c r="B9" s="44" t="s">
        <v>477</v>
      </c>
      <c r="C9" s="85" t="s">
        <v>322</v>
      </c>
    </row>
    <row r="10" spans="1:3" ht="14.6" x14ac:dyDescent="0.4">
      <c r="A10" s="41" t="s">
        <v>415</v>
      </c>
      <c r="B10" s="44" t="s">
        <v>423</v>
      </c>
      <c r="C10" s="85" t="s">
        <v>442</v>
      </c>
    </row>
    <row r="11" spans="1:3" ht="14.6" x14ac:dyDescent="0.4">
      <c r="A11" s="41" t="s">
        <v>416</v>
      </c>
      <c r="B11" s="44" t="s">
        <v>424</v>
      </c>
      <c r="C11" s="85" t="s">
        <v>472</v>
      </c>
    </row>
    <row r="12" spans="1:3" ht="14.6" x14ac:dyDescent="0.4">
      <c r="A12" s="41" t="s">
        <v>328</v>
      </c>
      <c r="B12" s="44" t="s">
        <v>425</v>
      </c>
      <c r="C12" s="85" t="s">
        <v>443</v>
      </c>
    </row>
    <row r="13" spans="1:3" ht="14.6" x14ac:dyDescent="0.4">
      <c r="A13" s="41" t="s">
        <v>329</v>
      </c>
      <c r="B13" s="44" t="s">
        <v>426</v>
      </c>
      <c r="C13" s="85" t="s">
        <v>473</v>
      </c>
    </row>
    <row r="14" spans="1:3" ht="14.6" x14ac:dyDescent="0.4">
      <c r="A14" s="41" t="s">
        <v>330</v>
      </c>
      <c r="B14" s="44" t="s">
        <v>427</v>
      </c>
      <c r="C14" s="85" t="s">
        <v>474</v>
      </c>
    </row>
    <row r="15" spans="1:3" ht="14.6" x14ac:dyDescent="0.4">
      <c r="A15" s="41" t="s">
        <v>331</v>
      </c>
      <c r="B15" s="44" t="s">
        <v>428</v>
      </c>
      <c r="C15" s="85" t="s">
        <v>444</v>
      </c>
    </row>
    <row r="16" spans="1:3" ht="14.6" x14ac:dyDescent="0.4">
      <c r="A16" s="41" t="s">
        <v>332</v>
      </c>
      <c r="B16" s="44" t="s">
        <v>429</v>
      </c>
      <c r="C16" s="85" t="s">
        <v>445</v>
      </c>
    </row>
    <row r="17" spans="1:3" ht="14.6" x14ac:dyDescent="0.4">
      <c r="A17" s="41" t="s">
        <v>333</v>
      </c>
      <c r="B17" s="44" t="s">
        <v>430</v>
      </c>
      <c r="C17" s="85" t="s">
        <v>446</v>
      </c>
    </row>
    <row r="18" spans="1:3" ht="14.6" x14ac:dyDescent="0.4">
      <c r="A18" s="41" t="s">
        <v>334</v>
      </c>
      <c r="B18" s="44" t="s">
        <v>431</v>
      </c>
      <c r="C18" s="85" t="s">
        <v>475</v>
      </c>
    </row>
    <row r="19" spans="1:3" ht="14.6" x14ac:dyDescent="0.4">
      <c r="A19" s="41" t="s">
        <v>335</v>
      </c>
      <c r="B19" s="44" t="s">
        <v>432</v>
      </c>
      <c r="C19" s="85" t="s">
        <v>447</v>
      </c>
    </row>
    <row r="20" spans="1:3" ht="14.6" x14ac:dyDescent="0.4">
      <c r="A20" s="41" t="s">
        <v>336</v>
      </c>
      <c r="B20" s="44" t="s">
        <v>433</v>
      </c>
      <c r="C20" s="85" t="s">
        <v>478</v>
      </c>
    </row>
    <row r="21" spans="1:3" ht="14.6" x14ac:dyDescent="0.4">
      <c r="A21" s="41" t="s">
        <v>337</v>
      </c>
      <c r="B21" s="44" t="s">
        <v>434</v>
      </c>
      <c r="C21" s="85" t="s">
        <v>448</v>
      </c>
    </row>
    <row r="22" spans="1:3" ht="14.6" x14ac:dyDescent="0.4">
      <c r="A22" s="41" t="s">
        <v>338</v>
      </c>
      <c r="B22" s="44" t="s">
        <v>435</v>
      </c>
      <c r="C22" s="85" t="s">
        <v>449</v>
      </c>
    </row>
    <row r="23" spans="1:3" ht="14.6" x14ac:dyDescent="0.4">
      <c r="A23" s="41" t="s">
        <v>339</v>
      </c>
      <c r="B23" s="44" t="s">
        <v>436</v>
      </c>
      <c r="C23" s="85" t="s">
        <v>471</v>
      </c>
    </row>
    <row r="24" spans="1:3" ht="14.6" x14ac:dyDescent="0.4">
      <c r="A24" s="41" t="s">
        <v>417</v>
      </c>
      <c r="B24" s="44" t="s">
        <v>437</v>
      </c>
      <c r="C24" s="85" t="s">
        <v>478</v>
      </c>
    </row>
  </sheetData>
  <autoFilter ref="A2:B23" xr:uid="{DA55D369-5C0B-4CD7-A2C8-4DBFF22A4DF6}"/>
  <sortState xmlns:xlrd2="http://schemas.microsoft.com/office/spreadsheetml/2017/richdata2" ref="A3:C24">
    <sortCondition ref="A3:A24"/>
  </sortState>
  <mergeCells count="1">
    <mergeCell ref="A1:B1"/>
  </mergeCells>
  <pageMargins left="0.7" right="0.7" top="0.75" bottom="0.75" header="0.3" footer="0.3"/>
  <pageSetup paperSize="5" orientation="landscape" r:id="rId1"/>
  <headerFooter>
    <oddHeader>&amp;A</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8C17-D2B9-402A-88F6-9630031C279C}">
  <dimension ref="A1:D12"/>
  <sheetViews>
    <sheetView workbookViewId="0">
      <selection activeCell="A4" sqref="A4"/>
    </sheetView>
  </sheetViews>
  <sheetFormatPr defaultRowHeight="14.6" x14ac:dyDescent="0.4"/>
  <cols>
    <col min="1" max="1" width="18.3828125" customWidth="1"/>
    <col min="2" max="2" width="46.69140625" customWidth="1"/>
    <col min="3" max="3" width="57.3046875" customWidth="1"/>
    <col min="4" max="4" width="27.69140625" customWidth="1"/>
    <col min="5" max="5" width="13.3046875" customWidth="1"/>
  </cols>
  <sheetData>
    <row r="1" spans="1:4" x14ac:dyDescent="0.4">
      <c r="A1" s="112" t="s">
        <v>340</v>
      </c>
      <c r="B1" s="112"/>
      <c r="C1" s="112"/>
      <c r="D1" s="112"/>
    </row>
    <row r="2" spans="1:4" x14ac:dyDescent="0.4">
      <c r="A2" s="13" t="s">
        <v>341</v>
      </c>
      <c r="B2" s="13"/>
      <c r="C2" s="13"/>
      <c r="D2" s="13"/>
    </row>
    <row r="3" spans="1:4" x14ac:dyDescent="0.4">
      <c r="A3" s="62" t="s">
        <v>342</v>
      </c>
      <c r="B3" s="62" t="s">
        <v>343</v>
      </c>
      <c r="C3" s="62" t="s">
        <v>344</v>
      </c>
      <c r="D3" s="62" t="s">
        <v>345</v>
      </c>
    </row>
    <row r="4" spans="1:4" x14ac:dyDescent="0.4">
      <c r="A4" s="44" t="s">
        <v>346</v>
      </c>
      <c r="B4" s="63"/>
      <c r="C4" s="63"/>
      <c r="D4" s="63"/>
    </row>
    <row r="5" spans="1:4" x14ac:dyDescent="0.4">
      <c r="A5" s="44" t="s">
        <v>347</v>
      </c>
      <c r="B5" s="44"/>
      <c r="C5" s="44"/>
      <c r="D5" s="44"/>
    </row>
    <row r="6" spans="1:4" x14ac:dyDescent="0.4">
      <c r="A6" s="44" t="s">
        <v>348</v>
      </c>
      <c r="B6" s="44"/>
      <c r="C6" s="44"/>
      <c r="D6" s="44"/>
    </row>
    <row r="8" spans="1:4" x14ac:dyDescent="0.4">
      <c r="A8" s="13" t="s">
        <v>349</v>
      </c>
      <c r="B8" s="13"/>
      <c r="C8" s="13"/>
      <c r="D8" s="13"/>
    </row>
    <row r="9" spans="1:4" x14ac:dyDescent="0.4">
      <c r="A9" s="62" t="s">
        <v>342</v>
      </c>
      <c r="B9" s="62" t="s">
        <v>343</v>
      </c>
      <c r="C9" s="62" t="s">
        <v>344</v>
      </c>
      <c r="D9" s="62" t="s">
        <v>345</v>
      </c>
    </row>
    <row r="10" spans="1:4" x14ac:dyDescent="0.4">
      <c r="A10" s="44" t="s">
        <v>350</v>
      </c>
      <c r="B10" s="64"/>
      <c r="C10" s="64"/>
      <c r="D10" s="64"/>
    </row>
    <row r="11" spans="1:4" x14ac:dyDescent="0.4">
      <c r="A11" s="44" t="s">
        <v>351</v>
      </c>
      <c r="B11" s="64"/>
      <c r="C11" s="64"/>
      <c r="D11" s="64"/>
    </row>
    <row r="12" spans="1:4" x14ac:dyDescent="0.4">
      <c r="A12" s="44" t="s">
        <v>352</v>
      </c>
      <c r="B12" s="64"/>
      <c r="C12" s="64"/>
      <c r="D12" s="64"/>
    </row>
  </sheetData>
  <mergeCells count="1">
    <mergeCell ref="A1:D1"/>
  </mergeCells>
  <phoneticPr fontId="9" type="noConversion"/>
  <pageMargins left="0.7" right="0.7" top="0.75" bottom="0.75" header="0.3" footer="0.3"/>
  <pageSetup paperSize="5" orientation="landscape" r:id="rId1"/>
  <headerFooter>
    <oddHeader>&amp;A</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9907A-B877-475A-AEBA-37AD004BAE05}">
  <dimension ref="A1:C15"/>
  <sheetViews>
    <sheetView workbookViewId="0">
      <selection activeCell="A3" sqref="A3"/>
    </sheetView>
  </sheetViews>
  <sheetFormatPr defaultColWidth="9.3046875" defaultRowHeight="14.6" x14ac:dyDescent="0.4"/>
  <cols>
    <col min="1" max="1" width="16.3046875" style="56" customWidth="1"/>
    <col min="2" max="2" width="72.69140625" style="56" customWidth="1"/>
    <col min="3" max="3" width="53.3046875" style="56" customWidth="1"/>
    <col min="4" max="16384" width="9.3046875" style="56"/>
  </cols>
  <sheetData>
    <row r="1" spans="1:3" ht="30.75" customHeight="1" x14ac:dyDescent="0.4">
      <c r="A1" s="113" t="s">
        <v>353</v>
      </c>
      <c r="B1" s="113"/>
      <c r="C1" s="113"/>
    </row>
    <row r="2" spans="1:3" x14ac:dyDescent="0.4">
      <c r="A2" s="55" t="s">
        <v>354</v>
      </c>
      <c r="B2" s="55" t="s">
        <v>14</v>
      </c>
      <c r="C2" s="57" t="s">
        <v>355</v>
      </c>
    </row>
    <row r="3" spans="1:3" ht="29.15" x14ac:dyDescent="0.4">
      <c r="A3" s="58" t="s">
        <v>356</v>
      </c>
      <c r="B3" s="58" t="s">
        <v>357</v>
      </c>
      <c r="C3" s="58"/>
    </row>
    <row r="4" spans="1:3" ht="29.15" x14ac:dyDescent="0.4">
      <c r="A4" s="58" t="s">
        <v>358</v>
      </c>
      <c r="B4" s="58" t="s">
        <v>359</v>
      </c>
      <c r="C4" s="58"/>
    </row>
    <row r="5" spans="1:3" ht="29.15" x14ac:dyDescent="0.4">
      <c r="A5" s="58" t="s">
        <v>360</v>
      </c>
      <c r="B5" s="58" t="s">
        <v>361</v>
      </c>
      <c r="C5" s="58"/>
    </row>
    <row r="6" spans="1:3" ht="29.15" x14ac:dyDescent="0.4">
      <c r="A6" s="59" t="s">
        <v>387</v>
      </c>
      <c r="B6" s="59" t="s">
        <v>388</v>
      </c>
      <c r="C6" s="60"/>
    </row>
    <row r="7" spans="1:3" ht="29.15" x14ac:dyDescent="0.4">
      <c r="A7" s="61" t="s">
        <v>362</v>
      </c>
      <c r="B7" s="61" t="s">
        <v>363</v>
      </c>
      <c r="C7" s="58"/>
    </row>
    <row r="8" spans="1:3" ht="29.15" x14ac:dyDescent="0.4">
      <c r="A8" s="61" t="s">
        <v>389</v>
      </c>
      <c r="B8" s="61" t="s">
        <v>390</v>
      </c>
      <c r="C8" s="58"/>
    </row>
    <row r="9" spans="1:3" ht="58.3" x14ac:dyDescent="0.4">
      <c r="A9" s="61" t="s">
        <v>364</v>
      </c>
      <c r="B9" s="61" t="s">
        <v>365</v>
      </c>
      <c r="C9" s="58"/>
    </row>
    <row r="10" spans="1:3" x14ac:dyDescent="0.4">
      <c r="A10" s="61" t="s">
        <v>366</v>
      </c>
      <c r="B10" s="61" t="s">
        <v>367</v>
      </c>
      <c r="C10" s="58"/>
    </row>
    <row r="11" spans="1:3" x14ac:dyDescent="0.4">
      <c r="A11" s="61" t="s">
        <v>368</v>
      </c>
      <c r="B11" s="61" t="s">
        <v>369</v>
      </c>
      <c r="C11" s="58"/>
    </row>
    <row r="12" spans="1:3" x14ac:dyDescent="0.4">
      <c r="A12" s="61" t="s">
        <v>370</v>
      </c>
      <c r="B12" s="61" t="s">
        <v>371</v>
      </c>
      <c r="C12" s="58"/>
    </row>
    <row r="13" spans="1:3" x14ac:dyDescent="0.4">
      <c r="A13" s="61" t="s">
        <v>372</v>
      </c>
      <c r="B13" s="61" t="s">
        <v>373</v>
      </c>
      <c r="C13" s="58"/>
    </row>
    <row r="14" spans="1:3" x14ac:dyDescent="0.4">
      <c r="A14" s="61" t="s">
        <v>374</v>
      </c>
      <c r="B14" s="61" t="s">
        <v>375</v>
      </c>
      <c r="C14" s="58"/>
    </row>
    <row r="15" spans="1:3" ht="58.3" x14ac:dyDescent="0.4">
      <c r="A15" s="61" t="s">
        <v>391</v>
      </c>
      <c r="B15" s="61" t="s">
        <v>392</v>
      </c>
      <c r="C15" s="58"/>
    </row>
  </sheetData>
  <mergeCells count="1">
    <mergeCell ref="A1:C1"/>
  </mergeCells>
  <pageMargins left="0.7" right="0.7" top="0.75" bottom="0.75" header="0.3" footer="0.3"/>
  <pageSetup paperSize="5" orientation="landscape" r:id="rId1"/>
  <headerFooter>
    <oddHeader>&amp;A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B77D8F410CA9E64DBDFDCC57681413EF" ma:contentTypeVersion="2" ma:contentTypeDescription="Create a new document." ma:contentTypeScope="" ma:versionID="e9166db68d6aecfe158cfa1ea2ce060c">
  <xsd:schema xmlns:xsd="http://www.w3.org/2001/XMLSchema" xmlns:xs="http://www.w3.org/2001/XMLSchema" xmlns:p="http://schemas.microsoft.com/office/2006/metadata/properties" xmlns:ns2="88895e31-857b-4ac9-bf70-02788a5a5fa5" xmlns:ns3="b01e7239-e2de-4c41-82a4-6e04c593dc5f" targetNamespace="http://schemas.microsoft.com/office/2006/metadata/properties" ma:root="true" ma:fieldsID="8c436d2e75b0d0148f4ef031b2cc6b4a" ns2:_="" ns3:_="">
    <xsd:import namespace="88895e31-857b-4ac9-bf70-02788a5a5fa5"/>
    <xsd:import namespace="b01e7239-e2de-4c41-82a4-6e04c593dc5f"/>
    <xsd:element name="properties">
      <xsd:complexType>
        <xsd:sequence>
          <xsd:element name="documentManagement">
            <xsd:complexType>
              <xsd:all>
                <xsd:element ref="ns2:_dlc_DocIdUrl" minOccurs="0"/>
                <xsd:element ref="ns3:PMO_x0020_Status"/>
                <xsd:element ref="ns2:Project_Name"/>
                <xsd:element ref="ns3:State"/>
                <xsd:element ref="ns3:PMO_x0020_Comments" minOccurs="0"/>
                <xsd:element ref="ns2:_dlc_DocId"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5e31-857b-4ac9-bf70-02788a5a5fa5" elementFormDefault="qualified">
    <xsd:import namespace="http://schemas.microsoft.com/office/2006/documentManagement/types"/>
    <xsd:import namespace="http://schemas.microsoft.com/office/infopath/2007/PartnerControls"/>
    <xsd:element name="_dlc_DocIdUrl" ma:index="2"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Project_Name" ma:index="4" ma:displayName="PMO Project Name" ma:format="Dropdown" ma:internalName="Project_Name">
      <xsd:simpleType>
        <xsd:restriction base="dms:Choice">
          <xsd:enumeration value="AACAP"/>
          <xsd:enumeration value="Alaska Automated Information Management System"/>
          <xsd:enumeration value="AL DMH Substance Abuse Information System"/>
          <xsd:enumeration value="AmeriHealth"/>
          <xsd:enumeration value="Arizona Health Care Cost Containment System"/>
          <xsd:enumeration value="ASAM CONTINUUM"/>
          <xsd:enumeration value="AWS Cloud Transformation"/>
          <xsd:enumeration value="CA CCHS CDCR"/>
          <xsd:enumeration value="CA DDS Reimbursement System"/>
          <xsd:enumeration value="CA DHCS"/>
          <xsd:enumeration value="CCHCS ASAM"/>
          <xsd:enumeration value="CMS IV&amp;V"/>
          <xsd:enumeration value="Connecticut Department of Mental Health and Addiction Services"/>
          <xsd:enumeration value="DC CCMS"/>
          <xsd:enumeration value="D.C. Department of Behavioral Health"/>
          <xsd:enumeration value="ECMIS"/>
          <xsd:enumeration value="EPMO"/>
          <xsd:enumeration value="FED CMS MDX and PULSE Support"/>
          <xsd:enumeration value="FED HITC"/>
          <xsd:enumeration value="FL FASAMS"/>
          <xsd:enumeration value="FL SOR"/>
          <xsd:enumeration value="GA SBIRT, University of Augusta"/>
          <xsd:enumeration value="GA SOR DBHDD"/>
          <xsd:enumeration value="Hawaii WITS"/>
          <xsd:enumeration value="HEIST"/>
          <xsd:enumeration value="IA Behavioral Health Reporting System"/>
          <xsd:enumeration value="Idaho Department of Health and Welfare"/>
          <xsd:enumeration value="Illinois- The I-STARS Initiative"/>
          <xsd:enumeration value="Investment Project - Carity AWS"/>
          <xsd:enumeration value="Investment Project - ECM/ICM"/>
          <xsd:enumeration value="Investment Project - PowerBI"/>
          <xsd:enumeration value="Kentucky Opioid Response Effort"/>
          <xsd:enumeration value="Kern Co. Behavioral Health &amp; Recovery Services"/>
          <xsd:enumeration value="Lassen County WITS Implementation"/>
          <xsd:enumeration value="Leadership"/>
          <xsd:enumeration value="Marin County WITS"/>
          <xsd:enumeration value="Maximus"/>
          <xsd:enumeration value="MD Department of Juvenile Justice"/>
          <xsd:enumeration value="MD Institute for Governmental Service &amp; Research"/>
          <xsd:enumeration value="MD LTSS Development and BP Support"/>
          <xsd:enumeration value="MDThink"/>
          <xsd:enumeration value="ME LTSS Care Management System"/>
          <xsd:enumeration value="ME Lifespan Waiver Project"/>
          <xsd:enumeration value="ME OBH"/>
          <xsd:enumeration value="Mendocino WITS Hosting"/>
          <xsd:enumeration value="Mississippi DMH"/>
          <xsd:enumeration value="MN MnCHOICES Replacement"/>
          <xsd:enumeration value="MN PP CR"/>
          <xsd:enumeration value="MN Waiver Reimagine"/>
          <xsd:enumeration value="MO Case Management System for HCBS Waiver Services"/>
          <xsd:enumeration value="MS CareVisit Implementation"/>
          <xsd:enumeration value="MS eLTSS Enhancement and Certification"/>
          <xsd:enumeration value="MT DHHS WITS"/>
          <xsd:enumeration value="NC DMH DDSAS"/>
          <xsd:enumeration value="NDMS"/>
          <xsd:enumeration value="Nevada Department of Health and Human Services"/>
          <xsd:enumeration value="NH BDAS"/>
          <xsd:enumeration value="NM Medicaid Enterprise BMS/CMS"/>
          <xsd:enumeration value="North Dakota Behavioral Health Services"/>
          <xsd:enumeration value="NY Prevention"/>
          <xsd:enumeration value="NY SOR"/>
          <xsd:enumeration value="PA Aging Well"/>
          <xsd:enumeration value="PA DDAP"/>
          <xsd:enumeration value="PHW"/>
          <xsd:enumeration value="PIA"/>
          <xsd:enumeration value="Provider Services Management"/>
          <xsd:enumeration value="Salt Lake County Behavioral Health Services"/>
          <xsd:enumeration value="San Diego DMC-ODS"/>
          <xsd:enumeration value="SC DAODAS"/>
          <xsd:enumeration value="SC DHHS HWCIM"/>
          <xsd:enumeration value="SC MES Staff Augmentation"/>
          <xsd:enumeration value="Sonoma County WITS"/>
          <xsd:enumeration value="System Documentation"/>
          <xsd:enumeration value="TN Dept of Mental Health &amp; Substance Abuse"/>
          <xsd:enumeration value="TX Critical Incident Management System"/>
          <xsd:enumeration value="TX HHSC InterRAI"/>
          <xsd:enumeration value="VA CSB EHR"/>
          <xsd:enumeration value="VA WaMS"/>
          <xsd:enumeration value="West VA DHHR Data Collection"/>
          <xsd:enumeration value="West Virginia Web Based Data Collection System"/>
          <xsd:enumeration value="WI Care Management"/>
          <xsd:enumeration value="Wyoming SOR"/>
          <xsd:enumeration value="Multiple Projects"/>
          <xsd:enumeration value="Not Applicable"/>
        </xsd:restriction>
      </xsd:simpleType>
    </xsd:element>
    <xsd:element name="_dlc_DocId" ma:index="8" nillable="true" ma:displayName="Document ID Value" ma:description="The value of the document ID assigned to this item." ma:hidden="true" ma:internalName="_dlc_DocId" ma:readOnly="false">
      <xsd:simpleType>
        <xsd:restriction base="dms:Text"/>
      </xsd:simpleType>
    </xsd:element>
    <xsd:element name="_dlc_DocIdPersistId" ma:index="10" nillable="true" ma:displayName="Persist ID" ma:description="Keep ID on add." ma:hidden="true" ma:internalName="_dlc_DocIdPersistId" ma:readOnly="false">
      <xsd:simpleType>
        <xsd:restriction base="dms:Boolean"/>
      </xsd:simpleType>
    </xsd:element>
    <xsd:element name="TaxCatchAll" ma:index="23" nillable="true" ma:displayName="Taxonomy Catch All Column" ma:hidden="true" ma:list="{adddd048-0284-4f1b-9bb4-2fb00e394a1a}" ma:internalName="TaxCatchAll" ma:showField="CatchAllData" ma:web="88895e31-857b-4ac9-bf70-02788a5a5fa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01e7239-e2de-4c41-82a4-6e04c593dc5f" elementFormDefault="qualified">
    <xsd:import namespace="http://schemas.microsoft.com/office/2006/documentManagement/types"/>
    <xsd:import namespace="http://schemas.microsoft.com/office/infopath/2007/PartnerControls"/>
    <xsd:element name="PMO_x0020_Status" ma:index="3" ma:displayName="Document Status" ma:default="Draft" ma:description="PMO Custom Status" ma:format="Dropdown" ma:internalName="PMO_x0020_Status" ma:readOnly="false">
      <xsd:simpleType>
        <xsd:restriction base="dms:Choice">
          <xsd:enumeration value="Draft"/>
          <xsd:enumeration value="Final"/>
          <xsd:enumeration value="Submitted to PMO"/>
          <xsd:enumeration value="In PMO Review"/>
          <xsd:enumeration value="Submitted to Client"/>
          <xsd:enumeration value="Approved"/>
          <xsd:enumeration value="Rejected"/>
          <xsd:enumeration value="Canceled"/>
        </xsd:restriction>
      </xsd:simpleType>
    </xsd:element>
    <xsd:element name="State" ma:index="5" ma:displayName="State" ma:default="Wisconsin" ma:format="Dropdown" ma:internalName="State">
      <xsd:simpleType>
        <xsd:restriction base="dms:Choice">
          <xsd:enumeration value="Alabama"/>
          <xsd:enumeration value="Alaska"/>
          <xsd:enumeration value="Arizona"/>
          <xsd:enumeration value="Arkansas"/>
          <xsd:enumeration value="California"/>
          <xsd:enumeration value="Colorado"/>
          <xsd:enumeration value="Connecticut"/>
          <xsd:enumeration value="Delaware"/>
          <xsd:enumeration value="Florida"/>
          <xsd:enumeration value="Georgia"/>
          <xsd:enumeration value="Hawaii"/>
          <xsd:enumeration value="Idaho"/>
          <xsd:enumeration value="Illinois"/>
          <xsd:enumeration value="Indiana"/>
          <xsd:enumeration value="Iowa"/>
          <xsd:enumeration value="Kansas"/>
          <xsd:enumeration value="Kentucky"/>
          <xsd:enumeration value="Louisiana"/>
          <xsd:enumeration value="Maine"/>
          <xsd:enumeration value="Maryland"/>
          <xsd:enumeration value="Massachusetts"/>
          <xsd:enumeration value="Michigan"/>
          <xsd:enumeration value="Minnesota"/>
          <xsd:enumeration value="Mississippi"/>
          <xsd:enumeration value="Missouri"/>
          <xsd:enumeration value="Montana"/>
          <xsd:enumeration value="Nebraska"/>
          <xsd:enumeration value="Nevada"/>
          <xsd:enumeration value="New Hampshire"/>
          <xsd:enumeration value="New Jersey"/>
          <xsd:enumeration value="New Mexico"/>
          <xsd:enumeration value="New York"/>
          <xsd:enumeration value="North Carolina"/>
          <xsd:enumeration value="North Dakota"/>
          <xsd:enumeration value="Ohio"/>
          <xsd:enumeration value="Oklahoma"/>
          <xsd:enumeration value="Oregon"/>
          <xsd:enumeration value="Pennsylvania"/>
          <xsd:enumeration value="Rhode Island"/>
          <xsd:enumeration value="South Carolina"/>
          <xsd:enumeration value="South Dakota"/>
          <xsd:enumeration value="Tennessee"/>
          <xsd:enumeration value="Texas"/>
          <xsd:enumeration value="Utah"/>
          <xsd:enumeration value="Vermont"/>
          <xsd:enumeration value="Virginia"/>
          <xsd:enumeration value="Washington"/>
          <xsd:enumeration value="Washington, D.C."/>
          <xsd:enumeration value="West Virginia"/>
          <xsd:enumeration value="Wisconsin"/>
          <xsd:enumeration value="Wyoming"/>
          <xsd:enumeration value="Not Applicable"/>
          <xsd:enumeration value="Federal"/>
        </xsd:restriction>
      </xsd:simpleType>
    </xsd:element>
    <xsd:element name="PMO_x0020_Comments" ma:index="6" nillable="true" ma:displayName="Comment" ma:internalName="PMO_x0020_Comments" ma:readOnly="false">
      <xsd:simpleType>
        <xsd:restriction base="dms:Note">
          <xsd:maxLength value="255"/>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hidden="true" ma:internalName="MediaServiceKeyPoints"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f9eb0e6-a94e-4fc3-8082-d2622cb750f6" ma:termSetId="09814cd3-568e-fe90-9814-8d621ff8fb84" ma:anchorId="fba54fb3-c3e1-fe81-a776-ca4b69148c4d" ma:open="true" ma:isKeyword="false">
      <xsd:complexType>
        <xsd:sequence>
          <xsd:element ref="pc:Terms" minOccurs="0" maxOccurs="1"/>
        </xsd:sequence>
      </xsd:complex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LengthInSeconds" ma:index="2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88895e31-857b-4ac9-bf70-02788a5a5fa5">FEISPO-193709011-523</_dlc_DocId>
    <_dlc_DocIdUrl xmlns="88895e31-857b-4ac9-bf70-02788a5a5fa5">
      <Url>https://feisystems3.sharepoint.com/sites/ProjectRoot/epmo/WICM/_layouts/15/DocIdRedir.aspx?ID=FEISPO-193709011-523</Url>
      <Description>FEISPO-193709011-523</Description>
    </_dlc_DocIdUrl>
    <_dlc_DocIdPersistId xmlns="88895e31-857b-4ac9-bf70-02788a5a5fa5">false</_dlc_DocIdPersistId>
    <Project_Name xmlns="88895e31-857b-4ac9-bf70-02788a5a5fa5">WI Care Management</Project_Name>
    <State xmlns="b01e7239-e2de-4c41-82a4-6e04c593dc5f">Wisconsin</State>
    <PMO_x0020_Comments xmlns="b01e7239-e2de-4c41-82a4-6e04c593dc5f">6/19/2025 - Approved by DHS</PMO_x0020_Comments>
    <PMO_x0020_Status xmlns="b01e7239-e2de-4c41-82a4-6e04c593dc5f">Approved</PMO_x0020_Status>
    <TaxCatchAll xmlns="88895e31-857b-4ac9-bf70-02788a5a5fa5" xsi:nil="true"/>
    <lcf76f155ced4ddcb4097134ff3c332f xmlns="b01e7239-e2de-4c41-82a4-6e04c593dc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A560A14-C829-489C-8531-8B03E0089E22}">
  <ds:schemaRefs>
    <ds:schemaRef ds:uri="http://schemas.microsoft.com/sharepoint/v3/contenttype/forms"/>
  </ds:schemaRefs>
</ds:datastoreItem>
</file>

<file path=customXml/itemProps2.xml><?xml version="1.0" encoding="utf-8"?>
<ds:datastoreItem xmlns:ds="http://schemas.openxmlformats.org/officeDocument/2006/customXml" ds:itemID="{4845A86A-7984-4E27-952D-8042E9F6C9FB}">
  <ds:schemaRefs>
    <ds:schemaRef ds:uri="http://schemas.microsoft.com/sharepoint/events"/>
  </ds:schemaRefs>
</ds:datastoreItem>
</file>

<file path=customXml/itemProps3.xml><?xml version="1.0" encoding="utf-8"?>
<ds:datastoreItem xmlns:ds="http://schemas.openxmlformats.org/officeDocument/2006/customXml" ds:itemID="{0AAFBDBB-32DB-44EC-AB3C-A45AFB8E19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895e31-857b-4ac9-bf70-02788a5a5fa5"/>
    <ds:schemaRef ds:uri="b01e7239-e2de-4c41-82a4-6e04c593dc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D915E00-6811-4BE4-BF8E-6564D35DC21C}">
  <ds:schemaRefs>
    <ds:schemaRef ds:uri="http://purl.org/dc/terms/"/>
    <ds:schemaRef ds:uri="http://purl.org/dc/elements/1.1/"/>
    <ds:schemaRef ds:uri="http://purl.org/dc/dcmitype/"/>
    <ds:schemaRef ds:uri="http://schemas.microsoft.com/office/infopath/2007/PartnerControls"/>
    <ds:schemaRef ds:uri="http://schemas.microsoft.com/office/2006/documentManagement/types"/>
    <ds:schemaRef ds:uri="http://www.w3.org/XML/1998/namespace"/>
    <ds:schemaRef ds:uri="http://schemas.openxmlformats.org/package/2006/metadata/core-properties"/>
    <ds:schemaRef ds:uri="b01e7239-e2de-4c41-82a4-6e04c593dc5f"/>
    <ds:schemaRef ds:uri="88895e31-857b-4ac9-bf70-02788a5a5fa5"/>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Version History</vt:lpstr>
      <vt:lpstr>Approval</vt:lpstr>
      <vt:lpstr>Waiver Member File</vt:lpstr>
      <vt:lpstr>Business Rules</vt:lpstr>
      <vt:lpstr>Context</vt:lpstr>
      <vt:lpstr>MMIS Stop Reasons</vt:lpstr>
      <vt:lpstr>Error Handling</vt:lpstr>
      <vt:lpstr>Requirements</vt:lpstr>
      <vt:lpstr>Approval!Print_Area</vt:lpstr>
      <vt:lpstr>'Business Rules'!Print_Area</vt:lpstr>
      <vt:lpstr>Context!Print_Area</vt:lpstr>
      <vt:lpstr>'Error Handling'!Print_Area</vt:lpstr>
      <vt:lpstr>'MMIS Stop Reasons'!Print_Area</vt:lpstr>
      <vt:lpstr>Requirements!Print_Area</vt:lpstr>
      <vt:lpstr>'Version History'!Print_Area</vt:lpstr>
      <vt:lpstr>'Waiver Member File'!Print_Area</vt:lpstr>
      <vt:lpstr>Approval!Print_Titles</vt:lpstr>
      <vt:lpstr>'Business Rules'!Print_Titles</vt:lpstr>
      <vt:lpstr>Context!Print_Titles</vt:lpstr>
      <vt:lpstr>Requirements!Print_Titles</vt:lpstr>
      <vt:lpstr>'Version History'!Print_Titles</vt:lpstr>
      <vt:lpstr>'Waiver Member File'!Print_Titles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FG 2_WI DHS MES CMM_ICD-D03_Waiver Member File</dc:title>
  <dc:subject/>
  <dc:creator>Michael Hodge</dc:creator>
  <cp:keywords/>
  <dc:description/>
  <cp:lastModifiedBy>Michael Hodge</cp:lastModifiedBy>
  <cp:revision/>
  <cp:lastPrinted>2025-06-20T15:35:14Z</cp:lastPrinted>
  <dcterms:created xsi:type="dcterms:W3CDTF">2022-01-26T21:21:07Z</dcterms:created>
  <dcterms:modified xsi:type="dcterms:W3CDTF">2026-06-24T04:16:12Z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0x010100B77D8F410CA9E64DBDFDCC57681413EF</vt:lpwstr>
  </property>
  <property fmtid="{D5CDD505-2E9C-101B-9397-08002B2CF9AE}" pid="3" name="_dlc_DocIdItemGuid">
    <vt:lpwstr>0a34c04f-e148-44f8-87ec-21bce2163b6d</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xd_Signature">
    <vt:bool>false</vt:bool>
  </property>
  <property fmtid="{D5CDD505-2E9C-101B-9397-08002B2CF9AE}" pid="8" name="MediaServiceImageTags">
    <vt:lpwstr/>
  </property>
  <property fmtid="{D5CDD505-2E9C-101B-9397-08002B2CF9AE}" pid="9" name="TriggerFlowInfo">
    <vt:lpwstr/>
  </property>
</Properties>
</file>